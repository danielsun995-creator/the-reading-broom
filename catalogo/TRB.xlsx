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gonareyes/Desktop/BEGO/"/>
    </mc:Choice>
  </mc:AlternateContent>
  <xr:revisionPtr revIDLastSave="0" documentId="13_ncr:1_{2BF6116B-1476-3646-ADE9-25233A9B9640}" xr6:coauthVersionLast="47" xr6:coauthVersionMax="47" xr10:uidLastSave="{00000000-0000-0000-0000-000000000000}"/>
  <bookViews>
    <workbookView xWindow="680" yWindow="760" windowWidth="28040" windowHeight="17020" xr2:uid="{DC14EC2E-285C-E642-A094-8747692A25E0}"/>
  </bookViews>
  <sheets>
    <sheet name="CATÁLOGO" sheetId="1" r:id="rId1"/>
    <sheet name="GASTOS" sheetId="4" r:id="rId2"/>
    <sheet name="TABLA DE PRECIOS" sheetId="2" r:id="rId3"/>
    <sheet name="VENTAS ABRIL-MAY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J35" i="1" s="1"/>
  <c r="I35" i="1"/>
  <c r="H35" i="1"/>
  <c r="D35" i="1"/>
  <c r="F34" i="1"/>
  <c r="J34" i="1" s="1"/>
  <c r="I34" i="1"/>
  <c r="D34" i="1"/>
  <c r="H34" i="1"/>
  <c r="J32" i="1"/>
  <c r="J33" i="1"/>
  <c r="I32" i="1"/>
  <c r="I33" i="1"/>
  <c r="H32" i="1"/>
  <c r="H33" i="1"/>
  <c r="F32" i="1"/>
  <c r="F33" i="1"/>
  <c r="D32" i="1"/>
  <c r="D33" i="1"/>
  <c r="F30" i="1"/>
  <c r="J30" i="1"/>
  <c r="I30" i="1"/>
  <c r="D30" i="1"/>
  <c r="D31" i="1"/>
  <c r="H30" i="1"/>
  <c r="B37" i="3"/>
  <c r="I28" i="1"/>
  <c r="I29" i="1"/>
  <c r="H28" i="1"/>
  <c r="H29" i="1"/>
  <c r="F28" i="1"/>
  <c r="J28" i="1" s="1"/>
  <c r="F29" i="1"/>
  <c r="J29" i="1" s="1"/>
  <c r="D28" i="1"/>
  <c r="D29" i="1"/>
  <c r="H27" i="1"/>
  <c r="I27" i="1"/>
  <c r="F27" i="1"/>
  <c r="J27" i="1" s="1"/>
  <c r="D27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31" i="1"/>
  <c r="H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31" i="1"/>
  <c r="I5" i="1"/>
  <c r="F6" i="1"/>
  <c r="J6" i="1" s="1"/>
  <c r="F7" i="1"/>
  <c r="J7" i="1" s="1"/>
  <c r="F8" i="1"/>
  <c r="J8" i="1" s="1"/>
  <c r="F9" i="1"/>
  <c r="J9" i="1" s="1"/>
  <c r="F10" i="1"/>
  <c r="J10" i="1" s="1"/>
  <c r="F11" i="1"/>
  <c r="J11" i="1" s="1"/>
  <c r="F12" i="1"/>
  <c r="J12" i="1" s="1"/>
  <c r="F13" i="1"/>
  <c r="J13" i="1" s="1"/>
  <c r="F14" i="1"/>
  <c r="J14" i="1" s="1"/>
  <c r="F15" i="1"/>
  <c r="J15" i="1" s="1"/>
  <c r="F16" i="1"/>
  <c r="J16" i="1" s="1"/>
  <c r="F17" i="1"/>
  <c r="J17" i="1" s="1"/>
  <c r="F18" i="1"/>
  <c r="J18" i="1" s="1"/>
  <c r="F19" i="1"/>
  <c r="J19" i="1" s="1"/>
  <c r="F20" i="1"/>
  <c r="J20" i="1" s="1"/>
  <c r="F21" i="1"/>
  <c r="J21" i="1" s="1"/>
  <c r="F22" i="1"/>
  <c r="J22" i="1" s="1"/>
  <c r="F23" i="1"/>
  <c r="J23" i="1" s="1"/>
  <c r="F24" i="1"/>
  <c r="J24" i="1" s="1"/>
  <c r="F25" i="1"/>
  <c r="J25" i="1" s="1"/>
  <c r="F26" i="1"/>
  <c r="J26" i="1" s="1"/>
  <c r="F31" i="1"/>
  <c r="J31" i="1" s="1"/>
  <c r="F5" i="1"/>
  <c r="J5" i="1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5" i="1"/>
  <c r="I1" i="1" l="1"/>
  <c r="H1" i="1"/>
  <c r="J1" i="1"/>
  <c r="K1" i="1" l="1"/>
</calcChain>
</file>

<file path=xl/sharedStrings.xml><?xml version="1.0" encoding="utf-8"?>
<sst xmlns="http://schemas.openxmlformats.org/spreadsheetml/2006/main" count="103" uniqueCount="80">
  <si>
    <t xml:space="preserve">ARTÍCULO </t>
  </si>
  <si>
    <t>COSTO</t>
  </si>
  <si>
    <t>UTILIDAD</t>
  </si>
  <si>
    <t>CANTIDAD</t>
  </si>
  <si>
    <t xml:space="preserve">Termo La Bella y la Bestia </t>
  </si>
  <si>
    <t>Vela Harry Potter</t>
  </si>
  <si>
    <t>Gorra I love sports</t>
  </si>
  <si>
    <t>Book cover</t>
  </si>
  <si>
    <t>Cobija con diseño de libros</t>
  </si>
  <si>
    <t xml:space="preserve">Vela Orgullo y Prejuicio </t>
  </si>
  <si>
    <t>Journal bordado (verde)</t>
  </si>
  <si>
    <t xml:space="preserve">Reading journal </t>
  </si>
  <si>
    <t>Tote bag Orgullo y Prejuicio</t>
  </si>
  <si>
    <t>Tote bag Toni Morrison</t>
  </si>
  <si>
    <t>Tote bag I love sports romance</t>
  </si>
  <si>
    <t>Tote bag La Bella y la Bestia</t>
  </si>
  <si>
    <t xml:space="preserve">Tote bag Union Square </t>
  </si>
  <si>
    <t>Tote bag Bag of books B&amp;N (verde)</t>
  </si>
  <si>
    <t>Tote bag Bag of books B&amp;N (vino)</t>
  </si>
  <si>
    <t>Vela aromática Costco</t>
  </si>
  <si>
    <t xml:space="preserve">PRECIO MÍNIMO </t>
  </si>
  <si>
    <t>PRECIO MÁXIMO</t>
  </si>
  <si>
    <t>MARK UP</t>
  </si>
  <si>
    <t>PRECIO FINAL</t>
  </si>
  <si>
    <t>PRECIO SUGERIDO</t>
  </si>
  <si>
    <t>Separador magnético</t>
  </si>
  <si>
    <t>COSTO TOTAL</t>
  </si>
  <si>
    <t>VENTA TOTAL</t>
  </si>
  <si>
    <t>UTILIDAD TOTAL</t>
  </si>
  <si>
    <t>Un escaparate navideño (libro)</t>
  </si>
  <si>
    <t>Wreck the halls (libro)</t>
  </si>
  <si>
    <t>Christmas Bookshop (libro)</t>
  </si>
  <si>
    <t xml:space="preserve">Concédeme un deseo (libro) </t>
  </si>
  <si>
    <t>Sense and Sensibility (libro)</t>
  </si>
  <si>
    <t>Emma (libro)</t>
  </si>
  <si>
    <t>Orgullo y Prejuicio (libro)</t>
  </si>
  <si>
    <t xml:space="preserve">Estuche / cosmetiquera </t>
  </si>
  <si>
    <t>Vaso de cristal con popote</t>
  </si>
  <si>
    <t>Little Women (libro)</t>
  </si>
  <si>
    <t>KITS VENDIDOS</t>
  </si>
  <si>
    <t>TOTE BAG: BAG OF BOOKS</t>
  </si>
  <si>
    <t>KIT VERDE B&amp;N</t>
  </si>
  <si>
    <t>VELA AROMÁTICA VERDE</t>
  </si>
  <si>
    <t>LITTLE WOMEN (LIBRO)</t>
  </si>
  <si>
    <t>STICKERS</t>
  </si>
  <si>
    <t>POST ITS / SEPARADORES</t>
  </si>
  <si>
    <t>BOOK TRACKER</t>
  </si>
  <si>
    <t xml:space="preserve">1 CAJA CARTÓN </t>
  </si>
  <si>
    <t xml:space="preserve">1 BOLSA DE PAPEL CHINA </t>
  </si>
  <si>
    <t>KIT ROSA B&amp;N</t>
  </si>
  <si>
    <t>VELA AROMÁTICA ROSA</t>
  </si>
  <si>
    <t>SEPARADOR MAGNÉTICO VERDE</t>
  </si>
  <si>
    <t>SEPARADOR MAGNÉTICO ROSA</t>
  </si>
  <si>
    <t>EMMA (LIBRO)</t>
  </si>
  <si>
    <t xml:space="preserve">POST ITS / SEPARADORES </t>
  </si>
  <si>
    <t>1 BOLSA DE PAPEL CHINA</t>
  </si>
  <si>
    <t>GALLETAS BISCOFF</t>
  </si>
  <si>
    <t>PRECIO</t>
  </si>
  <si>
    <t>PRODUCTOS INDIVIDUALES VENDIDOS</t>
  </si>
  <si>
    <t>TOTE BAG LA BELLA Y LA BESTIA</t>
  </si>
  <si>
    <t xml:space="preserve">CAJA DE CARTÓN </t>
  </si>
  <si>
    <t>TE GOURMET</t>
  </si>
  <si>
    <t>CHOCOLATE FERRERO</t>
  </si>
  <si>
    <t>LIP BALM</t>
  </si>
  <si>
    <t xml:space="preserve">2 SEPARADORES </t>
  </si>
  <si>
    <t>BOOK JOURNAL BEIGE</t>
  </si>
  <si>
    <t xml:space="preserve">VELA ROSA ORGULLO Y PREJUICIO </t>
  </si>
  <si>
    <t>TOTAL</t>
  </si>
  <si>
    <t>Tazas Costco de flores</t>
  </si>
  <si>
    <t xml:space="preserve">Separador Rifle Paper Co. </t>
  </si>
  <si>
    <t>Pluma Rifle Paper Co.</t>
  </si>
  <si>
    <t>Llavero Rifle Paper Co.</t>
  </si>
  <si>
    <t xml:space="preserve">CAJAS DE CARTÓN </t>
  </si>
  <si>
    <t>SEPARADORES</t>
  </si>
  <si>
    <t>POST ITS SEPARADORES</t>
  </si>
  <si>
    <t xml:space="preserve">PAPEL DE CHINA </t>
  </si>
  <si>
    <t xml:space="preserve">PAPEL DE CHINA CORTADO </t>
  </si>
  <si>
    <t xml:space="preserve">BOOK TRACKER </t>
  </si>
  <si>
    <t>BISCOFF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</si>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</sst>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merican Typewriter"/>
      <family val="1"/>
    </font>
    <font>
      <sz val="12"/>
      <color rgb="FFF3F6E0"/>
      <name val="American Typewriter"/>
      <family val="1"/>
    </font>
    <font>
      <b/>
      <sz val="12"/>
      <color theme="1"/>
      <name val="Aptos Narrow"/>
      <scheme val="minor"/>
    </font>
    <font>
      <b/>
      <sz val="12"/>
      <color rgb="FFFEFDFA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808C"/>
        <bgColor indexed="64"/>
      </patternFill>
    </fill>
    <fill>
      <patternFill patternType="solid">
        <fgColor rgb="FFF9FAEF"/>
        <bgColor indexed="64"/>
      </patternFill>
    </fill>
    <fill>
      <patternFill patternType="solid">
        <fgColor rgb="FF18A08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1" xfId="0" applyFont="1" applyFill="1" applyBorder="1"/>
    <xf numFmtId="164" fontId="1" fillId="3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10" fontId="1" fillId="3" borderId="1" xfId="0" applyNumberFormat="1" applyFont="1" applyFill="1" applyBorder="1"/>
    <xf numFmtId="10" fontId="0" fillId="0" borderId="0" xfId="0" applyNumberFormat="1"/>
    <xf numFmtId="164" fontId="1" fillId="0" borderId="0" xfId="0" applyNumberFormat="1" applyFont="1"/>
    <xf numFmtId="10" fontId="1" fillId="0" borderId="0" xfId="0" applyNumberFormat="1" applyFont="1"/>
    <xf numFmtId="0" fontId="1" fillId="5" borderId="1" xfId="0" applyFont="1" applyFill="1" applyBorder="1"/>
    <xf numFmtId="164" fontId="1" fillId="5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Fill="1" applyBorder="1"/>
    <xf numFmtId="0" fontId="0" fillId="2" borderId="0" xfId="0" applyFill="1"/>
    <xf numFmtId="0" fontId="3" fillId="0" borderId="0" xfId="0" applyFont="1"/>
    <xf numFmtId="0" fontId="4" fillId="4" borderId="0" xfId="0" applyFont="1" applyFill="1" applyAlignment="1">
      <alignment horizontal="center"/>
    </xf>
    <xf numFmtId="164" fontId="4" fillId="4" borderId="0" xfId="0" applyNumberFormat="1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0" borderId="0" xfId="0" applyFont="1" applyFill="1" applyAlignment="1">
      <alignment horizontal="center"/>
    </xf>
    <xf numFmtId="0" fontId="0" fillId="0" borderId="0" xfId="0" applyFill="1"/>
    <xf numFmtId="0" fontId="0" fillId="6" borderId="0" xfId="0" applyFill="1"/>
    <xf numFmtId="164" fontId="0" fillId="6" borderId="0" xfId="0" applyNumberFormat="1" applyFill="1"/>
    <xf numFmtId="164" fontId="1" fillId="3" borderId="1" xfId="0" applyNumberFormat="1" applyFont="1" applyFill="1" applyBorder="1" applyAlignment="1">
      <alignment horizontal="right"/>
    </xf>
    <xf numFmtId="0" fontId="1" fillId="7" borderId="1" xfId="0" applyFont="1" applyFill="1" applyBorder="1"/>
    <xf numFmtId="164" fontId="4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A08E"/>
      <color rgb="FF17808C"/>
      <color rgb="FFFEFDFA"/>
      <color rgb="FF17878F"/>
      <color rgb="FFF9FAEF"/>
      <color rgb="FFF3F6E0"/>
      <color rgb="FF000000"/>
      <color rgb="FFFEF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D998F-E6A1-DB48-8C0D-BE7B540E7B8F}">
  <dimension ref="B1:K39"/>
  <sheetViews>
    <sheetView tabSelected="1" zoomScale="113" workbookViewId="0">
      <selection activeCell="A13" sqref="A13"/>
    </sheetView>
  </sheetViews>
  <sheetFormatPr baseColWidth="10" defaultRowHeight="16" x14ac:dyDescent="0.2"/>
  <cols>
    <col min="2" max="2" width="36.83203125" customWidth="1"/>
    <col min="3" max="3" width="17.83203125" customWidth="1"/>
    <col min="4" max="4" width="19.83203125" customWidth="1"/>
    <col min="5" max="10" width="17.83203125" customWidth="1"/>
  </cols>
  <sheetData>
    <row r="1" spans="2:11" x14ac:dyDescent="0.2">
      <c r="H1" s="7">
        <f>SUM(H5:H31)</f>
        <v>8637.64</v>
      </c>
      <c r="I1" s="7">
        <f>SUM(I5:I31)</f>
        <v>13131</v>
      </c>
      <c r="J1" s="7">
        <f>SUM(J5:J31)</f>
        <v>4493.3600000000006</v>
      </c>
      <c r="K1" s="8">
        <f>J1/I1</f>
        <v>0.34219480618383979</v>
      </c>
    </row>
    <row r="4" spans="2:11" x14ac:dyDescent="0.2">
      <c r="B4" s="1" t="s">
        <v>0</v>
      </c>
      <c r="C4" s="1" t="s">
        <v>1</v>
      </c>
      <c r="D4" s="1" t="s">
        <v>24</v>
      </c>
      <c r="E4" s="1" t="s">
        <v>23</v>
      </c>
      <c r="F4" s="1" t="s">
        <v>2</v>
      </c>
      <c r="G4" s="1" t="s">
        <v>3</v>
      </c>
      <c r="H4" s="1" t="s">
        <v>26</v>
      </c>
      <c r="I4" s="1" t="s">
        <v>27</v>
      </c>
      <c r="J4" s="1" t="s">
        <v>28</v>
      </c>
    </row>
    <row r="5" spans="2:11" ht="20" customHeight="1" x14ac:dyDescent="0.2">
      <c r="B5" s="9" t="s">
        <v>4</v>
      </c>
      <c r="C5" s="10">
        <v>432.2</v>
      </c>
      <c r="D5" s="10">
        <f>C5*(1+(VLOOKUP(C5,'TABLA DE PRECIOS'!B:D,3,1)))</f>
        <v>626.68999999999994</v>
      </c>
      <c r="E5" s="10">
        <v>649</v>
      </c>
      <c r="F5" s="10">
        <f>E5-C5</f>
        <v>216.8</v>
      </c>
      <c r="G5" s="11">
        <v>1</v>
      </c>
      <c r="H5" s="10">
        <f>G5*C5</f>
        <v>432.2</v>
      </c>
      <c r="I5" s="10">
        <f>G5*E5</f>
        <v>649</v>
      </c>
      <c r="J5" s="10">
        <f t="shared" ref="J5:J35" si="0">G5*F5</f>
        <v>216.8</v>
      </c>
    </row>
    <row r="6" spans="2:11" ht="20" customHeight="1" x14ac:dyDescent="0.2">
      <c r="B6" s="2" t="s">
        <v>5</v>
      </c>
      <c r="C6" s="3">
        <v>432.03</v>
      </c>
      <c r="D6" s="3">
        <f>C6*(1+(VLOOKUP(C6,'TABLA DE PRECIOS'!B:D,3,1)))</f>
        <v>626.44349999999997</v>
      </c>
      <c r="E6" s="3">
        <v>649</v>
      </c>
      <c r="F6" s="3">
        <f t="shared" ref="F6:F35" si="1">E6-C6</f>
        <v>216.97000000000003</v>
      </c>
      <c r="G6" s="4">
        <v>1</v>
      </c>
      <c r="H6" s="3">
        <f t="shared" ref="H6:H35" si="2">G6*C6</f>
        <v>432.03</v>
      </c>
      <c r="I6" s="3">
        <f t="shared" ref="I6:I35" si="3">G6*E6</f>
        <v>649</v>
      </c>
      <c r="J6" s="3">
        <f t="shared" si="0"/>
        <v>216.97000000000003</v>
      </c>
    </row>
    <row r="7" spans="2:11" ht="20" customHeight="1" x14ac:dyDescent="0.2">
      <c r="B7" s="9" t="s">
        <v>6</v>
      </c>
      <c r="C7" s="10">
        <v>483.89</v>
      </c>
      <c r="D7" s="10">
        <f>C7*(1+(VLOOKUP(C7,'TABLA DE PRECIOS'!B:D,3,1)))</f>
        <v>701.64049999999997</v>
      </c>
      <c r="E7" s="10">
        <v>649</v>
      </c>
      <c r="F7" s="10">
        <f t="shared" si="1"/>
        <v>165.11</v>
      </c>
      <c r="G7" s="11">
        <v>1</v>
      </c>
      <c r="H7" s="10">
        <f t="shared" si="2"/>
        <v>483.89</v>
      </c>
      <c r="I7" s="10">
        <f t="shared" si="3"/>
        <v>649</v>
      </c>
      <c r="J7" s="10">
        <f t="shared" si="0"/>
        <v>165.11</v>
      </c>
    </row>
    <row r="8" spans="2:11" ht="20" customHeight="1" x14ac:dyDescent="0.2">
      <c r="B8" s="2" t="s">
        <v>25</v>
      </c>
      <c r="C8" s="3">
        <v>46</v>
      </c>
      <c r="D8" s="3">
        <f>C8*(1+(VLOOKUP(C8,'TABLA DE PRECIOS'!B:D,3,1)))</f>
        <v>138</v>
      </c>
      <c r="E8" s="3">
        <v>79</v>
      </c>
      <c r="F8" s="3">
        <f t="shared" si="1"/>
        <v>33</v>
      </c>
      <c r="G8" s="4">
        <v>4</v>
      </c>
      <c r="H8" s="3">
        <f t="shared" si="2"/>
        <v>184</v>
      </c>
      <c r="I8" s="3">
        <f t="shared" si="3"/>
        <v>316</v>
      </c>
      <c r="J8" s="3">
        <f t="shared" si="0"/>
        <v>132</v>
      </c>
    </row>
    <row r="9" spans="2:11" ht="20" customHeight="1" x14ac:dyDescent="0.2">
      <c r="B9" s="2" t="s">
        <v>11</v>
      </c>
      <c r="C9" s="3">
        <v>553.22</v>
      </c>
      <c r="D9" s="3">
        <f>C9*(1+(VLOOKUP(C9,'TABLA DE PRECIOS'!B:D,3,1)))</f>
        <v>802.16899999999998</v>
      </c>
      <c r="E9" s="3">
        <v>799</v>
      </c>
      <c r="F9" s="3">
        <f t="shared" si="1"/>
        <v>245.77999999999997</v>
      </c>
      <c r="G9" s="4">
        <v>1</v>
      </c>
      <c r="H9" s="3">
        <f t="shared" si="2"/>
        <v>553.22</v>
      </c>
      <c r="I9" s="3">
        <f t="shared" si="3"/>
        <v>799</v>
      </c>
      <c r="J9" s="3">
        <f t="shared" si="0"/>
        <v>245.77999999999997</v>
      </c>
    </row>
    <row r="10" spans="2:11" ht="20" customHeight="1" x14ac:dyDescent="0.2">
      <c r="B10" s="9" t="s">
        <v>7</v>
      </c>
      <c r="C10" s="10">
        <v>414.91</v>
      </c>
      <c r="D10" s="10">
        <f>C10*(1+(VLOOKUP(C10,'TABLA DE PRECIOS'!B:D,3,1)))</f>
        <v>601.61950000000002</v>
      </c>
      <c r="E10" s="10">
        <v>499</v>
      </c>
      <c r="F10" s="10">
        <f t="shared" si="1"/>
        <v>84.089999999999975</v>
      </c>
      <c r="G10" s="11">
        <v>2</v>
      </c>
      <c r="H10" s="10">
        <f t="shared" si="2"/>
        <v>829.82</v>
      </c>
      <c r="I10" s="10">
        <f t="shared" si="3"/>
        <v>998</v>
      </c>
      <c r="J10" s="10">
        <f t="shared" si="0"/>
        <v>168.17999999999995</v>
      </c>
    </row>
    <row r="11" spans="2:11" ht="20" customHeight="1" x14ac:dyDescent="0.2">
      <c r="B11" s="2" t="s">
        <v>8</v>
      </c>
      <c r="C11" s="3">
        <v>604.91</v>
      </c>
      <c r="D11" s="3">
        <f>C11*(1+(VLOOKUP(C11,'TABLA DE PRECIOS'!B:D,3,1)))</f>
        <v>877.1194999999999</v>
      </c>
      <c r="E11" s="3">
        <v>999</v>
      </c>
      <c r="F11" s="3">
        <f t="shared" si="1"/>
        <v>394.09000000000003</v>
      </c>
      <c r="G11" s="4">
        <v>1</v>
      </c>
      <c r="H11" s="3">
        <f t="shared" si="2"/>
        <v>604.91</v>
      </c>
      <c r="I11" s="3">
        <f t="shared" si="3"/>
        <v>999</v>
      </c>
      <c r="J11" s="3">
        <f t="shared" si="0"/>
        <v>394.09000000000003</v>
      </c>
    </row>
    <row r="12" spans="2:11" ht="20" customHeight="1" x14ac:dyDescent="0.2">
      <c r="B12" s="2" t="s">
        <v>9</v>
      </c>
      <c r="C12" s="3">
        <v>345.59</v>
      </c>
      <c r="D12" s="3">
        <f>C12*(1+(VLOOKUP(C12,'TABLA DE PRECIOS'!B:D,3,1)))</f>
        <v>501.10549999999995</v>
      </c>
      <c r="E12" s="3">
        <v>549</v>
      </c>
      <c r="F12" s="3">
        <f t="shared" si="1"/>
        <v>203.41000000000003</v>
      </c>
      <c r="G12" s="4">
        <v>0</v>
      </c>
      <c r="H12" s="3">
        <f t="shared" si="2"/>
        <v>0</v>
      </c>
      <c r="I12" s="3">
        <f t="shared" si="3"/>
        <v>0</v>
      </c>
      <c r="J12" s="3">
        <f t="shared" si="0"/>
        <v>0</v>
      </c>
    </row>
    <row r="13" spans="2:11" ht="20" customHeight="1" x14ac:dyDescent="0.2">
      <c r="B13" s="2" t="s">
        <v>10</v>
      </c>
      <c r="C13" s="3">
        <v>553.22</v>
      </c>
      <c r="D13" s="3">
        <f>C13*(1+(VLOOKUP(C13,'TABLA DE PRECIOS'!B:D,3,1)))</f>
        <v>802.16899999999998</v>
      </c>
      <c r="E13" s="3">
        <v>799</v>
      </c>
      <c r="F13" s="3">
        <f t="shared" si="1"/>
        <v>245.77999999999997</v>
      </c>
      <c r="G13" s="4">
        <v>1</v>
      </c>
      <c r="H13" s="3">
        <f t="shared" si="2"/>
        <v>553.22</v>
      </c>
      <c r="I13" s="3">
        <f t="shared" si="3"/>
        <v>799</v>
      </c>
      <c r="J13" s="3">
        <f t="shared" si="0"/>
        <v>245.77999999999997</v>
      </c>
    </row>
    <row r="14" spans="2:11" ht="20" customHeight="1" x14ac:dyDescent="0.2">
      <c r="B14" s="2" t="s">
        <v>12</v>
      </c>
      <c r="C14" s="3">
        <v>432.2</v>
      </c>
      <c r="D14" s="3">
        <f>C14*(1+(VLOOKUP(C14,'TABLA DE PRECIOS'!B:D,3,1)))</f>
        <v>626.68999999999994</v>
      </c>
      <c r="E14" s="3">
        <v>649</v>
      </c>
      <c r="F14" s="3">
        <f t="shared" si="1"/>
        <v>216.8</v>
      </c>
      <c r="G14" s="4">
        <v>1</v>
      </c>
      <c r="H14" s="3">
        <f t="shared" si="2"/>
        <v>432.2</v>
      </c>
      <c r="I14" s="3">
        <f t="shared" si="3"/>
        <v>649</v>
      </c>
      <c r="J14" s="3">
        <f t="shared" si="0"/>
        <v>216.8</v>
      </c>
    </row>
    <row r="15" spans="2:11" ht="20" customHeight="1" x14ac:dyDescent="0.2">
      <c r="B15" s="2" t="s">
        <v>13</v>
      </c>
      <c r="C15" s="3">
        <v>432.03</v>
      </c>
      <c r="D15" s="3">
        <f>C15*(1+(VLOOKUP(C15,'TABLA DE PRECIOS'!B:D,3,1)))</f>
        <v>626.44349999999997</v>
      </c>
      <c r="E15" s="3">
        <v>649</v>
      </c>
      <c r="F15" s="3">
        <f t="shared" si="1"/>
        <v>216.97000000000003</v>
      </c>
      <c r="G15" s="4">
        <v>1</v>
      </c>
      <c r="H15" s="3">
        <f t="shared" si="2"/>
        <v>432.03</v>
      </c>
      <c r="I15" s="3">
        <f t="shared" si="3"/>
        <v>649</v>
      </c>
      <c r="J15" s="3">
        <f t="shared" si="0"/>
        <v>216.97000000000003</v>
      </c>
    </row>
    <row r="16" spans="2:11" ht="20" customHeight="1" x14ac:dyDescent="0.2">
      <c r="B16" s="2" t="s">
        <v>14</v>
      </c>
      <c r="C16" s="3">
        <v>345.59</v>
      </c>
      <c r="D16" s="3">
        <f>C16*(1+(VLOOKUP(C16,'TABLA DE PRECIOS'!B:D,3,1)))</f>
        <v>501.10549999999995</v>
      </c>
      <c r="E16" s="3">
        <v>649</v>
      </c>
      <c r="F16" s="3">
        <f t="shared" si="1"/>
        <v>303.41000000000003</v>
      </c>
      <c r="G16" s="4">
        <v>1</v>
      </c>
      <c r="H16" s="3">
        <f t="shared" si="2"/>
        <v>345.59</v>
      </c>
      <c r="I16" s="3">
        <f t="shared" si="3"/>
        <v>649</v>
      </c>
      <c r="J16" s="3">
        <f t="shared" si="0"/>
        <v>303.41000000000003</v>
      </c>
    </row>
    <row r="17" spans="2:10" ht="20" customHeight="1" x14ac:dyDescent="0.2">
      <c r="B17" s="2" t="s">
        <v>15</v>
      </c>
      <c r="C17" s="3">
        <v>465.91</v>
      </c>
      <c r="D17" s="3">
        <f>C17*(1+(VLOOKUP(C17,'TABLA DE PRECIOS'!B:D,3,1)))</f>
        <v>675.56950000000006</v>
      </c>
      <c r="E17" s="3">
        <v>799</v>
      </c>
      <c r="F17" s="3">
        <f t="shared" si="1"/>
        <v>333.09</v>
      </c>
      <c r="G17" s="4">
        <v>0</v>
      </c>
      <c r="H17" s="23">
        <f t="shared" si="2"/>
        <v>0</v>
      </c>
      <c r="I17" s="23">
        <f t="shared" si="3"/>
        <v>0</v>
      </c>
      <c r="J17" s="23">
        <f t="shared" si="0"/>
        <v>0</v>
      </c>
    </row>
    <row r="18" spans="2:10" ht="20" customHeight="1" x14ac:dyDescent="0.2">
      <c r="B18" s="2" t="s">
        <v>16</v>
      </c>
      <c r="C18" s="3">
        <v>432.03</v>
      </c>
      <c r="D18" s="3">
        <f>C18*(1+(VLOOKUP(C18,'TABLA DE PRECIOS'!B:D,3,1)))</f>
        <v>626.44349999999997</v>
      </c>
      <c r="E18" s="3">
        <v>649</v>
      </c>
      <c r="F18" s="3">
        <f t="shared" si="1"/>
        <v>216.97000000000003</v>
      </c>
      <c r="G18" s="4">
        <v>1</v>
      </c>
      <c r="H18" s="23">
        <f t="shared" si="2"/>
        <v>432.03</v>
      </c>
      <c r="I18" s="23">
        <f t="shared" si="3"/>
        <v>649</v>
      </c>
      <c r="J18" s="23">
        <f t="shared" si="0"/>
        <v>216.97000000000003</v>
      </c>
    </row>
    <row r="19" spans="2:10" ht="20" customHeight="1" x14ac:dyDescent="0.2">
      <c r="B19" s="2" t="s">
        <v>17</v>
      </c>
      <c r="C19" s="3">
        <v>432.03</v>
      </c>
      <c r="D19" s="3">
        <f>C19*(1+(VLOOKUP(C19,'TABLA DE PRECIOS'!B:D,3,1)))</f>
        <v>626.44349999999997</v>
      </c>
      <c r="E19" s="3">
        <v>699</v>
      </c>
      <c r="F19" s="3">
        <f t="shared" si="1"/>
        <v>266.97000000000003</v>
      </c>
      <c r="G19" s="4">
        <v>0</v>
      </c>
      <c r="H19" s="23">
        <f t="shared" si="2"/>
        <v>0</v>
      </c>
      <c r="I19" s="23">
        <f t="shared" si="3"/>
        <v>0</v>
      </c>
      <c r="J19" s="23">
        <f t="shared" si="0"/>
        <v>0</v>
      </c>
    </row>
    <row r="20" spans="2:10" ht="20" customHeight="1" x14ac:dyDescent="0.2">
      <c r="B20" s="2" t="s">
        <v>18</v>
      </c>
      <c r="C20" s="3">
        <v>432.03</v>
      </c>
      <c r="D20" s="3">
        <f>C20*(1+(VLOOKUP(C20,'TABLA DE PRECIOS'!B:D,3,1)))</f>
        <v>626.44349999999997</v>
      </c>
      <c r="E20" s="3">
        <v>699</v>
      </c>
      <c r="F20" s="3">
        <f t="shared" si="1"/>
        <v>266.97000000000003</v>
      </c>
      <c r="G20" s="4">
        <v>0</v>
      </c>
      <c r="H20" s="23">
        <f t="shared" si="2"/>
        <v>0</v>
      </c>
      <c r="I20" s="23">
        <f t="shared" si="3"/>
        <v>0</v>
      </c>
      <c r="J20" s="23">
        <f t="shared" si="0"/>
        <v>0</v>
      </c>
    </row>
    <row r="21" spans="2:10" ht="20" customHeight="1" x14ac:dyDescent="0.2">
      <c r="B21" s="2" t="s">
        <v>19</v>
      </c>
      <c r="C21" s="3">
        <v>122.5</v>
      </c>
      <c r="D21" s="3">
        <f>C21*(1+(VLOOKUP(C21,'TABLA DE PRECIOS'!B:D,3,1)))</f>
        <v>245</v>
      </c>
      <c r="E21" s="3">
        <v>249</v>
      </c>
      <c r="F21" s="3">
        <f t="shared" si="1"/>
        <v>126.5</v>
      </c>
      <c r="G21" s="4">
        <v>6</v>
      </c>
      <c r="H21" s="23">
        <f t="shared" si="2"/>
        <v>735</v>
      </c>
      <c r="I21" s="23">
        <f t="shared" si="3"/>
        <v>1494</v>
      </c>
      <c r="J21" s="23">
        <f t="shared" si="0"/>
        <v>759</v>
      </c>
    </row>
    <row r="22" spans="2:10" ht="20" customHeight="1" x14ac:dyDescent="0.2">
      <c r="B22" s="2" t="s">
        <v>29</v>
      </c>
      <c r="C22" s="3">
        <v>192.5</v>
      </c>
      <c r="D22" s="3">
        <f>C22*(1+(VLOOKUP(C22,'TABLA DE PRECIOS'!B:D,3,1)))</f>
        <v>385</v>
      </c>
      <c r="E22" s="3">
        <v>299</v>
      </c>
      <c r="F22" s="3">
        <f t="shared" si="1"/>
        <v>106.5</v>
      </c>
      <c r="G22" s="4">
        <v>1</v>
      </c>
      <c r="H22" s="3">
        <f t="shared" si="2"/>
        <v>192.5</v>
      </c>
      <c r="I22" s="3">
        <f t="shared" si="3"/>
        <v>299</v>
      </c>
      <c r="J22" s="3">
        <f t="shared" si="0"/>
        <v>106.5</v>
      </c>
    </row>
    <row r="23" spans="2:10" ht="20" customHeight="1" x14ac:dyDescent="0.2">
      <c r="B23" s="2" t="s">
        <v>30</v>
      </c>
      <c r="C23" s="3">
        <v>192.5</v>
      </c>
      <c r="D23" s="3">
        <f>C23*(1+(VLOOKUP(C23,'TABLA DE PRECIOS'!B:D,3,1)))</f>
        <v>385</v>
      </c>
      <c r="E23" s="3">
        <v>299</v>
      </c>
      <c r="F23" s="3">
        <f t="shared" si="1"/>
        <v>106.5</v>
      </c>
      <c r="G23" s="4">
        <v>1</v>
      </c>
      <c r="H23" s="3">
        <f t="shared" si="2"/>
        <v>192.5</v>
      </c>
      <c r="I23" s="3">
        <f t="shared" si="3"/>
        <v>299</v>
      </c>
      <c r="J23" s="3">
        <f t="shared" si="0"/>
        <v>106.5</v>
      </c>
    </row>
    <row r="24" spans="2:10" ht="20" customHeight="1" x14ac:dyDescent="0.2">
      <c r="B24" s="2" t="s">
        <v>31</v>
      </c>
      <c r="C24" s="3">
        <v>350</v>
      </c>
      <c r="D24" s="3">
        <f>C24*(1+(VLOOKUP(C24,'TABLA DE PRECIOS'!B:D,3,1)))</f>
        <v>507.5</v>
      </c>
      <c r="E24" s="3">
        <v>350</v>
      </c>
      <c r="F24" s="3">
        <f t="shared" si="1"/>
        <v>0</v>
      </c>
      <c r="G24" s="4">
        <v>1</v>
      </c>
      <c r="H24" s="3">
        <f t="shared" si="2"/>
        <v>350</v>
      </c>
      <c r="I24" s="3">
        <f t="shared" si="3"/>
        <v>350</v>
      </c>
      <c r="J24" s="3">
        <f t="shared" si="0"/>
        <v>0</v>
      </c>
    </row>
    <row r="25" spans="2:10" ht="20" customHeight="1" x14ac:dyDescent="0.2">
      <c r="B25" s="2" t="s">
        <v>32</v>
      </c>
      <c r="C25" s="3">
        <v>192.5</v>
      </c>
      <c r="D25" s="3">
        <f>C25*(1+(VLOOKUP(C25,'TABLA DE PRECIOS'!B:D,3,1)))</f>
        <v>385</v>
      </c>
      <c r="E25" s="3">
        <v>299</v>
      </c>
      <c r="F25" s="3">
        <f t="shared" si="1"/>
        <v>106.5</v>
      </c>
      <c r="G25" s="4">
        <v>1</v>
      </c>
      <c r="H25" s="3">
        <f t="shared" si="2"/>
        <v>192.5</v>
      </c>
      <c r="I25" s="3">
        <f t="shared" si="3"/>
        <v>299</v>
      </c>
      <c r="J25" s="3">
        <f t="shared" si="0"/>
        <v>106.5</v>
      </c>
    </row>
    <row r="26" spans="2:10" ht="20" customHeight="1" x14ac:dyDescent="0.2">
      <c r="B26" s="2" t="s">
        <v>33</v>
      </c>
      <c r="C26" s="3">
        <v>330</v>
      </c>
      <c r="D26" s="3">
        <f>C26*(1+(VLOOKUP(C26,'TABLA DE PRECIOS'!B:D,3,1)))</f>
        <v>478.5</v>
      </c>
      <c r="E26" s="3">
        <v>499</v>
      </c>
      <c r="F26" s="3">
        <f t="shared" si="1"/>
        <v>169</v>
      </c>
      <c r="G26" s="4">
        <v>1</v>
      </c>
      <c r="H26" s="3">
        <f t="shared" si="2"/>
        <v>330</v>
      </c>
      <c r="I26" s="3">
        <f t="shared" si="3"/>
        <v>499</v>
      </c>
      <c r="J26" s="3">
        <f t="shared" si="0"/>
        <v>169</v>
      </c>
    </row>
    <row r="27" spans="2:10" ht="20" customHeight="1" x14ac:dyDescent="0.2">
      <c r="B27" s="2" t="s">
        <v>35</v>
      </c>
      <c r="C27" s="3">
        <v>330</v>
      </c>
      <c r="D27" s="3">
        <f>C27*(1+(VLOOKUP(C27,'TABLA DE PRECIOS'!B:D,3,1)))</f>
        <v>478.5</v>
      </c>
      <c r="E27" s="3">
        <v>499</v>
      </c>
      <c r="F27" s="3">
        <f t="shared" si="1"/>
        <v>169</v>
      </c>
      <c r="G27" s="4">
        <v>1</v>
      </c>
      <c r="H27" s="3">
        <f t="shared" si="2"/>
        <v>330</v>
      </c>
      <c r="I27" s="3">
        <f t="shared" si="3"/>
        <v>499</v>
      </c>
      <c r="J27" s="3">
        <f t="shared" si="0"/>
        <v>169</v>
      </c>
    </row>
    <row r="28" spans="2:10" ht="20" customHeight="1" x14ac:dyDescent="0.2">
      <c r="B28" s="2" t="s">
        <v>36</v>
      </c>
      <c r="C28" s="3">
        <v>80</v>
      </c>
      <c r="D28" s="3">
        <f>C28*(1+(VLOOKUP(C28,'TABLA DE PRECIOS'!B:D,3,1)))</f>
        <v>240</v>
      </c>
      <c r="E28" s="3">
        <v>120</v>
      </c>
      <c r="F28" s="3">
        <f t="shared" si="1"/>
        <v>40</v>
      </c>
      <c r="G28" s="4">
        <v>2</v>
      </c>
      <c r="H28" s="3">
        <f t="shared" si="2"/>
        <v>160</v>
      </c>
      <c r="I28" s="3">
        <f t="shared" si="3"/>
        <v>240</v>
      </c>
      <c r="J28" s="3">
        <f t="shared" si="0"/>
        <v>80</v>
      </c>
    </row>
    <row r="29" spans="2:10" ht="20" customHeight="1" x14ac:dyDescent="0.2">
      <c r="B29" s="2" t="s">
        <v>37</v>
      </c>
      <c r="C29" s="3">
        <v>220</v>
      </c>
      <c r="D29" s="3">
        <f>C29*(1+(VLOOKUP(C29,'TABLA DE PRECIOS'!B:D,3,1)))</f>
        <v>440</v>
      </c>
      <c r="E29" s="3">
        <v>349</v>
      </c>
      <c r="F29" s="3">
        <f t="shared" si="1"/>
        <v>129</v>
      </c>
      <c r="G29" s="4">
        <v>2</v>
      </c>
      <c r="H29" s="3">
        <f t="shared" si="2"/>
        <v>440</v>
      </c>
      <c r="I29" s="3">
        <f t="shared" si="3"/>
        <v>698</v>
      </c>
      <c r="J29" s="3">
        <f t="shared" si="0"/>
        <v>258</v>
      </c>
    </row>
    <row r="30" spans="2:10" ht="20" customHeight="1" x14ac:dyDescent="0.2">
      <c r="B30" s="2" t="s">
        <v>38</v>
      </c>
      <c r="C30" s="3">
        <v>215</v>
      </c>
      <c r="D30" s="3">
        <f>C30*(1+(VLOOKUP(C30,'TABLA DE PRECIOS'!B:D,3,1)))</f>
        <v>430</v>
      </c>
      <c r="E30" s="3">
        <v>430</v>
      </c>
      <c r="F30" s="3">
        <f t="shared" si="1"/>
        <v>215</v>
      </c>
      <c r="G30" s="4">
        <v>0</v>
      </c>
      <c r="H30" s="3">
        <f t="shared" si="2"/>
        <v>0</v>
      </c>
      <c r="I30" s="3">
        <f t="shared" si="3"/>
        <v>0</v>
      </c>
      <c r="J30" s="3">
        <f t="shared" si="0"/>
        <v>0</v>
      </c>
    </row>
    <row r="31" spans="2:10" ht="20" customHeight="1" x14ac:dyDescent="0.2">
      <c r="B31" s="2" t="s">
        <v>34</v>
      </c>
      <c r="C31" s="3">
        <v>330</v>
      </c>
      <c r="D31" s="3">
        <f>C31*(1+(VLOOKUP(C31,'TABLA DE PRECIOS'!B:D,3,1)))</f>
        <v>478.5</v>
      </c>
      <c r="E31" s="3">
        <v>499</v>
      </c>
      <c r="F31" s="3">
        <f t="shared" si="1"/>
        <v>169</v>
      </c>
      <c r="G31" s="4">
        <v>0</v>
      </c>
      <c r="H31" s="3">
        <f t="shared" si="2"/>
        <v>0</v>
      </c>
      <c r="I31" s="3">
        <f t="shared" si="3"/>
        <v>0</v>
      </c>
      <c r="J31" s="3">
        <f t="shared" si="0"/>
        <v>0</v>
      </c>
    </row>
    <row r="32" spans="2:10" ht="20" customHeight="1" x14ac:dyDescent="0.2">
      <c r="B32" s="24" t="s">
        <v>68</v>
      </c>
      <c r="C32" s="3"/>
      <c r="D32" s="3">
        <f>C32*(1+(VLOOKUP(C32,'TABLA DE PRECIOS'!B:D,3,1)))</f>
        <v>0</v>
      </c>
      <c r="E32" s="3"/>
      <c r="F32" s="3">
        <f t="shared" si="1"/>
        <v>0</v>
      </c>
      <c r="G32" s="4">
        <v>5</v>
      </c>
      <c r="H32" s="3">
        <f t="shared" si="2"/>
        <v>0</v>
      </c>
      <c r="I32" s="3">
        <f t="shared" si="3"/>
        <v>0</v>
      </c>
      <c r="J32" s="3">
        <f t="shared" si="0"/>
        <v>0</v>
      </c>
    </row>
    <row r="33" spans="2:10" ht="20" customHeight="1" x14ac:dyDescent="0.2">
      <c r="B33" s="2" t="s">
        <v>69</v>
      </c>
      <c r="C33" s="3">
        <v>170</v>
      </c>
      <c r="D33" s="3">
        <f>C33*(1+(VLOOKUP(C33,'TABLA DE PRECIOS'!B:D,3,1)))</f>
        <v>340</v>
      </c>
      <c r="E33" s="3">
        <v>340</v>
      </c>
      <c r="F33" s="3">
        <f t="shared" si="1"/>
        <v>170</v>
      </c>
      <c r="G33" s="4">
        <v>1</v>
      </c>
      <c r="H33" s="3">
        <f t="shared" si="2"/>
        <v>170</v>
      </c>
      <c r="I33" s="3">
        <f t="shared" si="3"/>
        <v>340</v>
      </c>
      <c r="J33" s="3">
        <f t="shared" si="0"/>
        <v>170</v>
      </c>
    </row>
    <row r="34" spans="2:10" ht="20" customHeight="1" x14ac:dyDescent="0.2">
      <c r="B34" s="2" t="s">
        <v>70</v>
      </c>
      <c r="C34" s="3">
        <v>280</v>
      </c>
      <c r="D34" s="3">
        <f>C34*(1+(VLOOKUP(C34,'TABLA DE PRECIOS'!B:D,3,1)))</f>
        <v>560</v>
      </c>
      <c r="E34" s="3">
        <v>499</v>
      </c>
      <c r="F34" s="3">
        <f t="shared" si="1"/>
        <v>219</v>
      </c>
      <c r="G34" s="4">
        <v>2</v>
      </c>
      <c r="H34" s="3">
        <f t="shared" si="2"/>
        <v>560</v>
      </c>
      <c r="I34" s="3">
        <f t="shared" si="3"/>
        <v>998</v>
      </c>
      <c r="J34" s="3">
        <f t="shared" si="0"/>
        <v>438</v>
      </c>
    </row>
    <row r="35" spans="2:10" ht="20" customHeight="1" x14ac:dyDescent="0.2">
      <c r="B35" s="2" t="s">
        <v>71</v>
      </c>
      <c r="C35" s="3">
        <v>330</v>
      </c>
      <c r="D35" s="3">
        <f>C35*(1+(VLOOKUP(C35,'TABLA DE PRECIOS'!B:D,3,1)))</f>
        <v>478.5</v>
      </c>
      <c r="E35" s="3">
        <v>449</v>
      </c>
      <c r="F35" s="3">
        <f t="shared" si="1"/>
        <v>119</v>
      </c>
      <c r="G35" s="4">
        <v>1</v>
      </c>
      <c r="H35" s="3">
        <f t="shared" si="2"/>
        <v>330</v>
      </c>
      <c r="I35" s="3">
        <f t="shared" si="3"/>
        <v>449</v>
      </c>
      <c r="J35" s="3">
        <f t="shared" si="0"/>
        <v>119</v>
      </c>
    </row>
    <row r="36" spans="2:10" ht="20" customHeight="1" x14ac:dyDescent="0.2">
      <c r="B36" s="2"/>
      <c r="C36" s="3"/>
      <c r="D36" s="3"/>
      <c r="E36" s="3"/>
      <c r="F36" s="3"/>
      <c r="G36" s="4"/>
      <c r="H36" s="3"/>
      <c r="I36" s="3"/>
      <c r="J36" s="3"/>
    </row>
    <row r="37" spans="2:10" x14ac:dyDescent="0.2">
      <c r="B37" s="12"/>
      <c r="C37" s="20"/>
    </row>
    <row r="38" spans="2:10" x14ac:dyDescent="0.2">
      <c r="B38" s="12"/>
      <c r="C38" s="20"/>
    </row>
    <row r="39" spans="2:10" x14ac:dyDescent="0.2">
      <c r="B39" s="20"/>
      <c r="C39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96FF-1663-274E-8E5B-711FEEE62BE7}">
  <dimension ref="B3:E11"/>
  <sheetViews>
    <sheetView workbookViewId="0">
      <selection activeCell="E4" sqref="E4"/>
    </sheetView>
  </sheetViews>
  <sheetFormatPr baseColWidth="10" defaultRowHeight="16" x14ac:dyDescent="0.2"/>
  <sheetData>
    <row r="3" spans="2:5" x14ac:dyDescent="0.2">
      <c r="D3" t="s">
        <v>26</v>
      </c>
      <c r="E3" t="s">
        <v>79</v>
      </c>
    </row>
    <row r="4" spans="2:5" x14ac:dyDescent="0.2">
      <c r="B4" t="s">
        <v>72</v>
      </c>
    </row>
    <row r="5" spans="2:5" x14ac:dyDescent="0.2">
      <c r="B5" t="s">
        <v>44</v>
      </c>
    </row>
    <row r="6" spans="2:5" x14ac:dyDescent="0.2">
      <c r="B6" t="s">
        <v>73</v>
      </c>
    </row>
    <row r="7" spans="2:5" x14ac:dyDescent="0.2">
      <c r="B7" t="s">
        <v>74</v>
      </c>
    </row>
    <row r="8" spans="2:5" x14ac:dyDescent="0.2">
      <c r="B8" t="s">
        <v>75</v>
      </c>
    </row>
    <row r="9" spans="2:5" x14ac:dyDescent="0.2">
      <c r="B9" t="s">
        <v>76</v>
      </c>
    </row>
    <row r="10" spans="2:5" x14ac:dyDescent="0.2">
      <c r="B10" t="s">
        <v>77</v>
      </c>
    </row>
    <row r="11" spans="2:5" x14ac:dyDescent="0.2">
      <c r="B11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4B3A-BDF6-2948-ABB8-79671625D6C8}">
  <dimension ref="B5:D30"/>
  <sheetViews>
    <sheetView workbookViewId="0">
      <selection activeCell="D33" sqref="D33"/>
    </sheetView>
  </sheetViews>
  <sheetFormatPr baseColWidth="10" defaultRowHeight="16" x14ac:dyDescent="0.2"/>
  <cols>
    <col min="2" max="4" width="31" customWidth="1"/>
  </cols>
  <sheetData>
    <row r="5" spans="2:4" x14ac:dyDescent="0.2">
      <c r="B5" s="1" t="s">
        <v>20</v>
      </c>
      <c r="C5" s="1" t="s">
        <v>21</v>
      </c>
      <c r="D5" s="1" t="s">
        <v>22</v>
      </c>
    </row>
    <row r="6" spans="2:4" x14ac:dyDescent="0.2">
      <c r="B6" s="2">
        <v>0</v>
      </c>
      <c r="C6" s="3">
        <v>100</v>
      </c>
      <c r="D6" s="5">
        <v>2</v>
      </c>
    </row>
    <row r="7" spans="2:4" x14ac:dyDescent="0.2">
      <c r="B7" s="2">
        <v>101</v>
      </c>
      <c r="C7" s="3">
        <v>300</v>
      </c>
      <c r="D7" s="5">
        <v>1</v>
      </c>
    </row>
    <row r="8" spans="2:4" x14ac:dyDescent="0.2">
      <c r="B8" s="2">
        <v>301</v>
      </c>
      <c r="C8" s="3">
        <v>800</v>
      </c>
      <c r="D8" s="5">
        <v>0.45</v>
      </c>
    </row>
    <row r="9" spans="2:4" x14ac:dyDescent="0.2">
      <c r="B9" s="2">
        <v>801</v>
      </c>
      <c r="C9" s="3">
        <v>1000</v>
      </c>
      <c r="D9" s="5">
        <v>0.4</v>
      </c>
    </row>
    <row r="10" spans="2:4" x14ac:dyDescent="0.2">
      <c r="B10" s="2">
        <v>1001</v>
      </c>
      <c r="C10" s="3">
        <v>1500</v>
      </c>
      <c r="D10" s="5">
        <v>0.35</v>
      </c>
    </row>
    <row r="11" spans="2:4" x14ac:dyDescent="0.2">
      <c r="B11" s="2">
        <v>1501</v>
      </c>
      <c r="C11" s="3">
        <v>100000000</v>
      </c>
      <c r="D11" s="5">
        <v>0.3</v>
      </c>
    </row>
    <row r="12" spans="2:4" x14ac:dyDescent="0.2">
      <c r="B12" s="2"/>
      <c r="C12" s="3"/>
      <c r="D12" s="5"/>
    </row>
    <row r="13" spans="2:4" x14ac:dyDescent="0.2">
      <c r="B13" s="2"/>
      <c r="C13" s="3"/>
      <c r="D13" s="5"/>
    </row>
    <row r="14" spans="2:4" x14ac:dyDescent="0.2">
      <c r="B14" s="2"/>
      <c r="C14" s="3"/>
      <c r="D14" s="5"/>
    </row>
    <row r="15" spans="2:4" x14ac:dyDescent="0.2">
      <c r="B15" s="2"/>
      <c r="C15" s="3"/>
      <c r="D15" s="5"/>
    </row>
    <row r="16" spans="2:4" x14ac:dyDescent="0.2">
      <c r="B16" s="2"/>
      <c r="C16" s="3"/>
      <c r="D16" s="5"/>
    </row>
    <row r="17" spans="2:4" x14ac:dyDescent="0.2">
      <c r="B17" s="2"/>
      <c r="C17" s="3"/>
      <c r="D17" s="5"/>
    </row>
    <row r="18" spans="2:4" x14ac:dyDescent="0.2">
      <c r="B18" s="2"/>
      <c r="C18" s="3"/>
      <c r="D18" s="5"/>
    </row>
    <row r="19" spans="2:4" x14ac:dyDescent="0.2">
      <c r="B19" s="2"/>
      <c r="C19" s="3"/>
      <c r="D19" s="5"/>
    </row>
    <row r="20" spans="2:4" x14ac:dyDescent="0.2">
      <c r="B20" s="2"/>
      <c r="C20" s="3"/>
      <c r="D20" s="5"/>
    </row>
    <row r="21" spans="2:4" x14ac:dyDescent="0.2">
      <c r="B21" s="2"/>
      <c r="C21" s="3"/>
      <c r="D21" s="5"/>
    </row>
    <row r="22" spans="2:4" x14ac:dyDescent="0.2">
      <c r="B22" s="2"/>
      <c r="C22" s="3"/>
      <c r="D22" s="5"/>
    </row>
    <row r="23" spans="2:4" x14ac:dyDescent="0.2">
      <c r="B23" s="2"/>
      <c r="C23" s="3"/>
      <c r="D23" s="5"/>
    </row>
    <row r="24" spans="2:4" x14ac:dyDescent="0.2">
      <c r="B24" s="2"/>
      <c r="C24" s="3"/>
      <c r="D24" s="5"/>
    </row>
    <row r="25" spans="2:4" x14ac:dyDescent="0.2">
      <c r="B25" s="2"/>
      <c r="C25" s="3"/>
      <c r="D25" s="5"/>
    </row>
    <row r="26" spans="2:4" x14ac:dyDescent="0.2">
      <c r="B26" s="2"/>
      <c r="C26" s="3"/>
      <c r="D26" s="5"/>
    </row>
    <row r="27" spans="2:4" x14ac:dyDescent="0.2">
      <c r="B27" s="2"/>
      <c r="C27" s="3"/>
      <c r="D27" s="5"/>
    </row>
    <row r="28" spans="2:4" x14ac:dyDescent="0.2">
      <c r="B28" s="2"/>
      <c r="C28" s="3"/>
      <c r="D28" s="5"/>
    </row>
    <row r="29" spans="2:4" x14ac:dyDescent="0.2">
      <c r="B29" s="2"/>
      <c r="C29" s="3"/>
      <c r="D29" s="5"/>
    </row>
    <row r="30" spans="2:4" x14ac:dyDescent="0.2">
      <c r="D3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03AB-5CDD-614B-A23B-474F060B7E02}">
  <dimension ref="A5:I37"/>
  <sheetViews>
    <sheetView zoomScale="125" workbookViewId="0">
      <selection activeCell="B37" sqref="B37"/>
    </sheetView>
  </sheetViews>
  <sheetFormatPr baseColWidth="10" defaultRowHeight="16" x14ac:dyDescent="0.2"/>
  <cols>
    <col min="2" max="2" width="35.1640625" customWidth="1"/>
    <col min="7" max="7" width="41.6640625" customWidth="1"/>
  </cols>
  <sheetData>
    <row r="5" spans="1:9" x14ac:dyDescent="0.2">
      <c r="A5" s="13"/>
      <c r="B5" s="17" t="s">
        <v>39</v>
      </c>
      <c r="C5" s="18" t="s">
        <v>57</v>
      </c>
      <c r="D5" s="17" t="s">
        <v>3</v>
      </c>
      <c r="E5" s="19"/>
      <c r="F5" s="17"/>
      <c r="G5" s="17" t="s">
        <v>58</v>
      </c>
      <c r="H5" s="17" t="s">
        <v>57</v>
      </c>
      <c r="I5" s="17" t="s">
        <v>3</v>
      </c>
    </row>
    <row r="6" spans="1:9" x14ac:dyDescent="0.2">
      <c r="B6" s="14"/>
      <c r="C6" s="14"/>
      <c r="E6" s="20"/>
    </row>
    <row r="7" spans="1:9" x14ac:dyDescent="0.2">
      <c r="A7" s="15">
        <v>1</v>
      </c>
      <c r="B7" s="15" t="s">
        <v>41</v>
      </c>
      <c r="C7" s="16">
        <v>1450</v>
      </c>
      <c r="D7" s="15">
        <v>1</v>
      </c>
      <c r="E7" s="19"/>
      <c r="F7" s="15">
        <v>3</v>
      </c>
      <c r="G7" s="15" t="s">
        <v>59</v>
      </c>
      <c r="H7" s="25">
        <v>799</v>
      </c>
      <c r="I7" s="15">
        <v>1</v>
      </c>
    </row>
    <row r="8" spans="1:9" x14ac:dyDescent="0.2">
      <c r="B8" t="s">
        <v>40</v>
      </c>
      <c r="E8" s="20"/>
      <c r="G8" t="s">
        <v>60</v>
      </c>
    </row>
    <row r="9" spans="1:9" x14ac:dyDescent="0.2">
      <c r="B9" t="s">
        <v>42</v>
      </c>
      <c r="E9" s="20"/>
      <c r="G9" t="s">
        <v>63</v>
      </c>
    </row>
    <row r="10" spans="1:9" x14ac:dyDescent="0.2">
      <c r="B10" t="s">
        <v>51</v>
      </c>
      <c r="E10" s="20"/>
      <c r="G10" t="s">
        <v>61</v>
      </c>
    </row>
    <row r="11" spans="1:9" x14ac:dyDescent="0.2">
      <c r="B11" t="s">
        <v>43</v>
      </c>
      <c r="E11" s="20"/>
      <c r="G11" t="s">
        <v>62</v>
      </c>
    </row>
    <row r="12" spans="1:9" x14ac:dyDescent="0.2">
      <c r="B12" t="s">
        <v>44</v>
      </c>
      <c r="E12" s="20"/>
      <c r="G12" t="s">
        <v>44</v>
      </c>
    </row>
    <row r="13" spans="1:9" x14ac:dyDescent="0.2">
      <c r="B13" t="s">
        <v>45</v>
      </c>
      <c r="E13" s="20"/>
      <c r="G13" t="s">
        <v>64</v>
      </c>
    </row>
    <row r="14" spans="1:9" x14ac:dyDescent="0.2">
      <c r="B14" t="s">
        <v>46</v>
      </c>
      <c r="E14" s="20"/>
    </row>
    <row r="15" spans="1:9" x14ac:dyDescent="0.2">
      <c r="B15" t="s">
        <v>47</v>
      </c>
      <c r="E15" s="20"/>
      <c r="F15" s="15">
        <v>4</v>
      </c>
      <c r="G15" s="15" t="s">
        <v>65</v>
      </c>
      <c r="H15" s="25">
        <v>799</v>
      </c>
      <c r="I15" s="15">
        <v>1</v>
      </c>
    </row>
    <row r="16" spans="1:9" x14ac:dyDescent="0.2">
      <c r="B16" t="s">
        <v>48</v>
      </c>
      <c r="E16" s="20"/>
      <c r="G16" t="s">
        <v>60</v>
      </c>
    </row>
    <row r="17" spans="1:9" x14ac:dyDescent="0.2">
      <c r="B17" t="s">
        <v>56</v>
      </c>
      <c r="E17" s="20"/>
      <c r="G17" t="s">
        <v>63</v>
      </c>
    </row>
    <row r="18" spans="1:9" x14ac:dyDescent="0.2">
      <c r="E18" s="20"/>
      <c r="G18" t="s">
        <v>61</v>
      </c>
    </row>
    <row r="19" spans="1:9" x14ac:dyDescent="0.2">
      <c r="E19" s="20"/>
      <c r="G19" t="s">
        <v>62</v>
      </c>
    </row>
    <row r="20" spans="1:9" x14ac:dyDescent="0.2">
      <c r="A20" s="15">
        <v>2</v>
      </c>
      <c r="B20" s="15" t="s">
        <v>49</v>
      </c>
      <c r="C20" s="16">
        <v>1450</v>
      </c>
      <c r="D20" s="15">
        <v>1</v>
      </c>
      <c r="E20" s="19"/>
      <c r="G20" t="s">
        <v>44</v>
      </c>
    </row>
    <row r="21" spans="1:9" x14ac:dyDescent="0.2">
      <c r="B21" t="s">
        <v>40</v>
      </c>
      <c r="G21" t="s">
        <v>64</v>
      </c>
    </row>
    <row r="22" spans="1:9" x14ac:dyDescent="0.2">
      <c r="B22" t="s">
        <v>50</v>
      </c>
    </row>
    <row r="23" spans="1:9" x14ac:dyDescent="0.2">
      <c r="B23" t="s">
        <v>52</v>
      </c>
      <c r="F23" s="15">
        <v>5</v>
      </c>
      <c r="G23" s="15" t="s">
        <v>66</v>
      </c>
      <c r="H23" s="25">
        <v>550</v>
      </c>
      <c r="I23" s="15">
        <v>1</v>
      </c>
    </row>
    <row r="24" spans="1:9" x14ac:dyDescent="0.2">
      <c r="B24" t="s">
        <v>53</v>
      </c>
      <c r="G24" t="s">
        <v>60</v>
      </c>
    </row>
    <row r="25" spans="1:9" x14ac:dyDescent="0.2">
      <c r="B25" t="s">
        <v>44</v>
      </c>
      <c r="G25" t="s">
        <v>63</v>
      </c>
    </row>
    <row r="26" spans="1:9" x14ac:dyDescent="0.2">
      <c r="B26" t="s">
        <v>54</v>
      </c>
      <c r="G26" t="s">
        <v>61</v>
      </c>
    </row>
    <row r="27" spans="1:9" x14ac:dyDescent="0.2">
      <c r="B27" t="s">
        <v>46</v>
      </c>
      <c r="G27" t="s">
        <v>62</v>
      </c>
    </row>
    <row r="28" spans="1:9" x14ac:dyDescent="0.2">
      <c r="B28" t="s">
        <v>47</v>
      </c>
      <c r="G28" t="s">
        <v>44</v>
      </c>
    </row>
    <row r="29" spans="1:9" x14ac:dyDescent="0.2">
      <c r="B29" t="s">
        <v>55</v>
      </c>
      <c r="G29" t="s">
        <v>64</v>
      </c>
    </row>
    <row r="30" spans="1:9" x14ac:dyDescent="0.2">
      <c r="B30" t="s">
        <v>56</v>
      </c>
    </row>
    <row r="37" spans="1:2" x14ac:dyDescent="0.2">
      <c r="A37" s="21" t="s">
        <v>67</v>
      </c>
      <c r="B37" s="22">
        <f>C7+H7+H15+H23+C20</f>
        <v>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CATÁLOGO</vt:lpstr>
      <vt:lpstr>GASTOS</vt:lpstr>
      <vt:lpstr>TABLA DE PRECIOS</vt:lpstr>
      <vt:lpstr>VENTAS ABRIL-MAYO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Almeida</dc:creator>
  <cp:lastModifiedBy>Karina Almeida</cp:lastModifiedBy>
  <dcterms:created xsi:type="dcterms:W3CDTF">2026-04-11T02:14:06Z</dcterms:created>
  <dcterms:modified xsi:type="dcterms:W3CDTF">2026-05-19T16:59:46Z</dcterms:modified>
</cp:coreProperties>
</file>