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suarezn\Documents\Extra Genomma\The Reading Broom\tienda\catalogo\"/>
    </mc:Choice>
  </mc:AlternateContent>
  <bookViews>
    <workbookView xWindow="0" yWindow="0" windowWidth="19200" windowHeight="6930"/>
  </bookViews>
  <sheets>
    <sheet name="PRODUCTOS" sheetId="1" r:id="rId1"/>
    <sheet name="COMPONENTES" sheetId="2" r:id="rId2"/>
    <sheet name="KITS" sheetId="3" r:id="rId3"/>
    <sheet name="STOCK_AUTOMATICO" sheetId="4" r:id="rId4"/>
    <sheet name="PEDIDOS" sheetId="5" r:id="rId5"/>
    <sheet name="MOVIMIENTOS" sheetId="6" r:id="rId6"/>
  </sheets>
  <definedNames>
    <definedName name="_xlnm._FilterDatabase" localSheetId="0" hidden="1">PRODUCTOS!$A$1:$N$42</definedName>
  </definedNames>
  <calcPr calcId="162913"/>
</workbook>
</file>

<file path=xl/calcChain.xml><?xml version="1.0" encoding="utf-8"?>
<calcChain xmlns="http://schemas.openxmlformats.org/spreadsheetml/2006/main">
  <c r="H38" i="1" l="1"/>
  <c r="H34" i="1" l="1"/>
  <c r="H32" i="1"/>
  <c r="H24" i="1"/>
  <c r="H22" i="1"/>
  <c r="H23" i="1"/>
  <c r="H12" i="1"/>
  <c r="D4" i="4" l="1"/>
  <c r="F21" i="3"/>
  <c r="G21" i="3" s="1"/>
  <c r="D21" i="3"/>
  <c r="G20" i="3"/>
  <c r="F20" i="3"/>
  <c r="D20" i="3"/>
  <c r="F19" i="3"/>
  <c r="G19" i="3" s="1"/>
  <c r="D19" i="3"/>
  <c r="G18" i="3"/>
  <c r="F18" i="3"/>
  <c r="F17" i="3"/>
  <c r="G17" i="3" s="1"/>
  <c r="D17" i="3"/>
  <c r="D5" i="4" s="1"/>
  <c r="G16" i="3"/>
  <c r="F16" i="3"/>
  <c r="D16" i="3"/>
  <c r="F15" i="3"/>
  <c r="G15" i="3" s="1"/>
  <c r="D15" i="3"/>
  <c r="G14" i="3"/>
  <c r="F14" i="3"/>
  <c r="D14" i="3"/>
  <c r="F13" i="3"/>
  <c r="G13" i="3" s="1"/>
  <c r="D13" i="3"/>
  <c r="F12" i="3"/>
  <c r="G12" i="3" s="1"/>
  <c r="D12" i="3"/>
  <c r="F11" i="3"/>
  <c r="G11" i="3" s="1"/>
  <c r="D11" i="3"/>
  <c r="G10" i="3"/>
  <c r="F10" i="3"/>
  <c r="D10" i="3"/>
  <c r="F9" i="3"/>
  <c r="G9" i="3" s="1"/>
  <c r="D9" i="3"/>
  <c r="F8" i="3"/>
  <c r="G8" i="3" s="1"/>
  <c r="D8" i="3"/>
  <c r="F7" i="3"/>
  <c r="G7" i="3" s="1"/>
  <c r="G6" i="3"/>
  <c r="F6" i="3"/>
  <c r="D6" i="3"/>
  <c r="F5" i="3"/>
  <c r="G5" i="3" s="1"/>
  <c r="D5" i="3"/>
  <c r="F4" i="3"/>
  <c r="G4" i="3" s="1"/>
  <c r="D4" i="3"/>
  <c r="F3" i="3"/>
  <c r="G3" i="3" s="1"/>
  <c r="D3" i="3"/>
  <c r="F2" i="3"/>
  <c r="E3" i="4" s="1" a="1"/>
  <c r="E3" i="4" s="1"/>
  <c r="G3" i="1" s="1"/>
  <c r="H3" i="1" s="1"/>
  <c r="E9" i="2"/>
  <c r="D18" i="3" s="1"/>
  <c r="E8" i="2"/>
  <c r="E5" i="2"/>
  <c r="E4" i="2"/>
  <c r="D7" i="3" s="1"/>
  <c r="D3" i="4" s="1"/>
  <c r="E3" i="2"/>
  <c r="E2" i="2"/>
  <c r="D2" i="3" s="1"/>
  <c r="D2" i="4" s="1"/>
  <c r="H42" i="1"/>
  <c r="H41" i="1"/>
  <c r="H40" i="1"/>
  <c r="H39" i="1"/>
  <c r="H37" i="1"/>
  <c r="H36" i="1"/>
  <c r="H35" i="1"/>
  <c r="H33" i="1"/>
  <c r="H31" i="1"/>
  <c r="H30" i="1"/>
  <c r="H29" i="1"/>
  <c r="H28" i="1"/>
  <c r="H27" i="1"/>
  <c r="H26" i="1"/>
  <c r="H25" i="1"/>
  <c r="H21" i="1"/>
  <c r="H20" i="1"/>
  <c r="H19" i="1"/>
  <c r="H18" i="1"/>
  <c r="H17" i="1"/>
  <c r="H16" i="1"/>
  <c r="H15" i="1"/>
  <c r="H14" i="1"/>
  <c r="H13" i="1"/>
  <c r="H11" i="1"/>
  <c r="H10" i="1"/>
  <c r="H9" i="1"/>
  <c r="H8" i="1"/>
  <c r="H7" i="1"/>
  <c r="H6" i="1"/>
  <c r="F5" i="1"/>
  <c r="F4" i="1"/>
  <c r="F3" i="1"/>
  <c r="F2" i="1"/>
  <c r="E4" i="4" l="1" a="1"/>
  <c r="E4" i="4" s="1"/>
  <c r="G4" i="1" s="1"/>
  <c r="H4" i="1" s="1"/>
  <c r="E5" i="4" a="1"/>
  <c r="E5" i="4" s="1"/>
  <c r="G5" i="1" s="1"/>
  <c r="H5" i="1" s="1"/>
  <c r="G2" i="3"/>
  <c r="E2" i="4" a="1"/>
  <c r="E2" i="4" s="1"/>
  <c r="G2" i="1" s="1"/>
  <c r="H2" i="1" s="1"/>
</calcChain>
</file>

<file path=xl/sharedStrings.xml><?xml version="1.0" encoding="utf-8"?>
<sst xmlns="http://schemas.openxmlformats.org/spreadsheetml/2006/main" count="489" uniqueCount="151">
  <si>
    <t>SKU</t>
  </si>
  <si>
    <t>Nombre de Producto</t>
  </si>
  <si>
    <t>Tipo Producto</t>
  </si>
  <si>
    <t>Categoria</t>
  </si>
  <si>
    <t>Descripcion corta</t>
  </si>
  <si>
    <t>Precio</t>
  </si>
  <si>
    <t>Stock calculado</t>
  </si>
  <si>
    <t>Activo</t>
  </si>
  <si>
    <t>Columna1</t>
  </si>
  <si>
    <t>Columna2</t>
  </si>
  <si>
    <t>Columna3</t>
  </si>
  <si>
    <t>Columna4</t>
  </si>
  <si>
    <t>Columna5</t>
  </si>
  <si>
    <t>Columna6</t>
  </si>
  <si>
    <t>AUSTEN-001</t>
  </si>
  <si>
    <t>The Jane Austen Collector's Box - Emma</t>
  </si>
  <si>
    <t>Kit</t>
  </si>
  <si>
    <t>Collector's Box</t>
  </si>
  <si>
    <t>Libro Emma de Jane Austen en pasta dura + totebag exclusiva Barnes &amp; Noble + vela aroma Sweet Cherry &amp; Amber + separador magnetico + stickers exclusivos</t>
  </si>
  <si>
    <t>AUSTEN-002</t>
  </si>
  <si>
    <t>The Jane Austen Collector's Box - Pride and Prejudice</t>
  </si>
  <si>
    <t>Libro Pride and Prejudice en pasta dura + tote bag exclusiva Pride and Prejudice + vela aroma Moonflower + separador magnetico + stickers exclusivos</t>
  </si>
  <si>
    <t>AUSTEN-003</t>
  </si>
  <si>
    <t>The Jane Austen Collector's Box - Sense &amp; Sensibility</t>
  </si>
  <si>
    <t>Libro Sense and Sensibility en pasta dura + tote bag azul exclusiva B&amp;N + vela aroma Moonflower &amp; Vetiver + separador magnetico + stickers exclusivos</t>
  </si>
  <si>
    <t>LTWM-001</t>
  </si>
  <si>
    <t>Collector's Box - Little Women</t>
  </si>
  <si>
    <t>Libro Little Women de Louisa May Alcott en pasta dura + totebag exclusiva Barnes &amp; Noble + vela aroma English Ivy &amp; Clover + separador magnetico + 2 stickers</t>
  </si>
  <si>
    <t>ACC-001</t>
  </si>
  <si>
    <t>Termo La Bella y la Bestia</t>
  </si>
  <si>
    <t>Producto individual</t>
  </si>
  <si>
    <t>Accesorios</t>
  </si>
  <si>
    <t>VEL-002</t>
  </si>
  <si>
    <t>Vela Harry Potter</t>
  </si>
  <si>
    <t>Velas</t>
  </si>
  <si>
    <t>ACC-003</t>
  </si>
  <si>
    <t>Gorra I love sports</t>
  </si>
  <si>
    <t>PAP-004</t>
  </si>
  <si>
    <t>Separador magnetico</t>
  </si>
  <si>
    <t>Papeleria</t>
  </si>
  <si>
    <t>PAP-005</t>
  </si>
  <si>
    <t>Reading journal</t>
  </si>
  <si>
    <t>ACC-006</t>
  </si>
  <si>
    <t>Book cover</t>
  </si>
  <si>
    <t>ACC-007</t>
  </si>
  <si>
    <t>Cobija con diseno de libros</t>
  </si>
  <si>
    <t>VEL-008</t>
  </si>
  <si>
    <t>Vela Orgullo y Prejuicio</t>
  </si>
  <si>
    <t>PAP-009</t>
  </si>
  <si>
    <t>Journal bordado (verde)</t>
  </si>
  <si>
    <t>BAG-010</t>
  </si>
  <si>
    <t>Tote bag Orgullo y Prejuicio</t>
  </si>
  <si>
    <t>Tote bags</t>
  </si>
  <si>
    <t>BAG-011</t>
  </si>
  <si>
    <t>Tote bag Toni Morrison</t>
  </si>
  <si>
    <t>BAG-012</t>
  </si>
  <si>
    <t>Tote bag I love sports romance</t>
  </si>
  <si>
    <t>BAG-013</t>
  </si>
  <si>
    <t>Tote bag La Bella y la Bestia</t>
  </si>
  <si>
    <t>BAG-014</t>
  </si>
  <si>
    <t>Tote bag Union Square</t>
  </si>
  <si>
    <t>BAG-015</t>
  </si>
  <si>
    <t>Tote bag Bag of books B&amp;N (verde)</t>
  </si>
  <si>
    <t>BAG-016</t>
  </si>
  <si>
    <t>Tote bag Bag of books B&amp;N (vino)</t>
  </si>
  <si>
    <t>VEL-017</t>
  </si>
  <si>
    <t>Vela aromatica Costco</t>
  </si>
  <si>
    <t>LIB-018</t>
  </si>
  <si>
    <t>Un escaparate navideno (libro)</t>
  </si>
  <si>
    <t>Libros</t>
  </si>
  <si>
    <t>LIB-019</t>
  </si>
  <si>
    <t>Wreck the halls (libro)</t>
  </si>
  <si>
    <t>LIB-020</t>
  </si>
  <si>
    <t>Christmas Bookshop (libro)</t>
  </si>
  <si>
    <t>LIB-021</t>
  </si>
  <si>
    <t>Concedeme un deseo (libro)</t>
  </si>
  <si>
    <t>LIB-022</t>
  </si>
  <si>
    <t>Sense and Sensibility (libro)</t>
  </si>
  <si>
    <t>LIB-023</t>
  </si>
  <si>
    <t>Orgullo y Prejuicio (libro)</t>
  </si>
  <si>
    <t>ACC-024</t>
  </si>
  <si>
    <t>Estuche / cosmetiquera</t>
  </si>
  <si>
    <t>ACC-025</t>
  </si>
  <si>
    <t>Vaso de cristal con popote</t>
  </si>
  <si>
    <t>LIB-026</t>
  </si>
  <si>
    <t>Little Women (libro)</t>
  </si>
  <si>
    <t>LIB-027</t>
  </si>
  <si>
    <t>Emma (libro)</t>
  </si>
  <si>
    <t>ACC-028</t>
  </si>
  <si>
    <t>Tazas Costco de flores</t>
  </si>
  <si>
    <t>PAP-029</t>
  </si>
  <si>
    <t>Separador Rifle Paper Co.</t>
  </si>
  <si>
    <t>PAP-030</t>
  </si>
  <si>
    <t>Pluma Rifle Paper Co.</t>
  </si>
  <si>
    <t>ACC-031</t>
  </si>
  <si>
    <t>Llavero Rifle Paper Co.</t>
  </si>
  <si>
    <t>SKU componente</t>
  </si>
  <si>
    <t>Nombre</t>
  </si>
  <si>
    <t>Stock actual</t>
  </si>
  <si>
    <t>CostoUSD</t>
  </si>
  <si>
    <t>Costo Unitario MXN</t>
  </si>
  <si>
    <t>Emma by Jane Austen Hardcover Book</t>
  </si>
  <si>
    <t>na</t>
  </si>
  <si>
    <t>Sense and Sensibility Jane Austen Hardcover</t>
  </si>
  <si>
    <t>Pride and Prejudice Jane Austen Hardcover</t>
  </si>
  <si>
    <t>VEL-001</t>
  </si>
  <si>
    <t>Taza Barnes &amp; Noble</t>
  </si>
  <si>
    <t>SEP-001</t>
  </si>
  <si>
    <t>Separador floral</t>
  </si>
  <si>
    <t>BOT-001</t>
  </si>
  <si>
    <t>Chocolates mini</t>
  </si>
  <si>
    <t>PLUM-001</t>
  </si>
  <si>
    <t>Pluma Barnes &amp; Noble</t>
  </si>
  <si>
    <t>BAG-001</t>
  </si>
  <si>
    <t>Totebag Barnes &amp; Noble</t>
  </si>
  <si>
    <t>VEL-KIT-001</t>
  </si>
  <si>
    <t>Vela Moonflower</t>
  </si>
  <si>
    <t>VEL-KIT-002</t>
  </si>
  <si>
    <t>Vela Sweet Cherry &amp; Amber</t>
  </si>
  <si>
    <t>VEL-KIT-003</t>
  </si>
  <si>
    <t>Vela English Ivy &amp; Clover</t>
  </si>
  <si>
    <t>VEL-KIT-004</t>
  </si>
  <si>
    <t>Vela Moonflower &amp; Vetiver</t>
  </si>
  <si>
    <t>STK-001</t>
  </si>
  <si>
    <t>Stickers exclusivos</t>
  </si>
  <si>
    <t>SKU kit</t>
  </si>
  <si>
    <t>Costo</t>
  </si>
  <si>
    <t>Cantidad</t>
  </si>
  <si>
    <t>Stock Actual</t>
  </si>
  <si>
    <t>Kits posibles</t>
  </si>
  <si>
    <t>Totebag Barnes &amp; Noble (azul)</t>
  </si>
  <si>
    <t>VEL-009</t>
  </si>
  <si>
    <t>Vela Wuthering Heights</t>
  </si>
  <si>
    <t>VEL-018</t>
  </si>
  <si>
    <t>VEL-019</t>
  </si>
  <si>
    <t>Vela aromatica Monk Fruit Vainilla</t>
  </si>
  <si>
    <t>Vela aromatica Sweet Cherry</t>
  </si>
  <si>
    <t>Vela aromatica English Ivy</t>
  </si>
  <si>
    <t>VEL-020</t>
  </si>
  <si>
    <t>Vela aromatica MoonFlower</t>
  </si>
  <si>
    <t>VEL-021</t>
  </si>
  <si>
    <t>Cosmetiquera Ghost</t>
  </si>
  <si>
    <t>Cosmetiquera Coffee</t>
  </si>
  <si>
    <t>Vaso de cristal con popote Just One More Chapter</t>
  </si>
  <si>
    <t>ACC-026</t>
  </si>
  <si>
    <t>ACC-027</t>
  </si>
  <si>
    <t>ACC-029</t>
  </si>
  <si>
    <t>Termo Reading Books</t>
  </si>
  <si>
    <t>Vaso de cristal con popote Books &amp; Flowers</t>
  </si>
  <si>
    <t>Tazas con diseño floral</t>
  </si>
  <si>
    <t>Tazas de flores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</si>
</sst>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tabSelected="1" topLeftCell="A4" workbookViewId="0">
      <selection activeCell="J14" sqref="J14"/>
    </sheetView>
  </sheetViews>
  <sheetFormatPr baseColWidth="10" defaultColWidth="8.7265625" defaultRowHeight="14.5" x14ac:dyDescent="0.35"/>
  <cols>
    <col min="1" max="1" width="11.08984375" bestFit="1" customWidth="1"/>
    <col min="2" max="2" width="45.089843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f>+VLOOKUP(A2,STOCK_AUTOMATICO!A:C,3,0)</f>
        <v>1499</v>
      </c>
      <c r="G2">
        <f>+VLOOKUP(A2,STOCK_AUTOMATICO!$A:$E,5,0)</f>
        <v>0</v>
      </c>
      <c r="H2" t="str">
        <f t="shared" ref="H2:H42" si="0">IFERROR(IF(G2&gt;0,"Si","Agotado"),"Agotado")</f>
        <v>Agotado</v>
      </c>
    </row>
    <row r="3" spans="1:14" x14ac:dyDescent="0.35">
      <c r="A3" t="s">
        <v>19</v>
      </c>
      <c r="B3" t="s">
        <v>20</v>
      </c>
      <c r="C3" t="s">
        <v>16</v>
      </c>
      <c r="D3" t="s">
        <v>17</v>
      </c>
      <c r="E3" t="s">
        <v>21</v>
      </c>
      <c r="F3">
        <f>+VLOOKUP(A3,STOCK_AUTOMATICO!A:C,3,0)</f>
        <v>1499</v>
      </c>
      <c r="G3">
        <f>+VLOOKUP(A3,STOCK_AUTOMATICO!$A:$E,5,0)</f>
        <v>0</v>
      </c>
      <c r="H3" t="str">
        <f t="shared" si="0"/>
        <v>Agotado</v>
      </c>
    </row>
    <row r="4" spans="1:14" x14ac:dyDescent="0.35">
      <c r="A4" t="s">
        <v>22</v>
      </c>
      <c r="B4" t="s">
        <v>23</v>
      </c>
      <c r="C4" t="s">
        <v>16</v>
      </c>
      <c r="D4" t="s">
        <v>17</v>
      </c>
      <c r="E4" t="s">
        <v>24</v>
      </c>
      <c r="F4">
        <f>+VLOOKUP(A4,STOCK_AUTOMATICO!A:C,3,0)</f>
        <v>1499</v>
      </c>
      <c r="G4">
        <f>+VLOOKUP(A4,STOCK_AUTOMATICO!$A:$E,5,0)</f>
        <v>0</v>
      </c>
      <c r="H4" t="str">
        <f t="shared" si="0"/>
        <v>Agotado</v>
      </c>
    </row>
    <row r="5" spans="1:14" x14ac:dyDescent="0.35">
      <c r="A5" t="s">
        <v>25</v>
      </c>
      <c r="B5" t="s">
        <v>26</v>
      </c>
      <c r="C5" t="s">
        <v>16</v>
      </c>
      <c r="D5" t="s">
        <v>17</v>
      </c>
      <c r="E5" t="s">
        <v>27</v>
      </c>
      <c r="F5">
        <f>+VLOOKUP(A5,STOCK_AUTOMATICO!A:C,3,0)</f>
        <v>1499</v>
      </c>
      <c r="G5">
        <f>+VLOOKUP(A5,STOCK_AUTOMATICO!$A:$E,5,0)</f>
        <v>0</v>
      </c>
      <c r="H5" t="str">
        <f t="shared" si="0"/>
        <v>Agotado</v>
      </c>
    </row>
    <row r="6" spans="1:14" x14ac:dyDescent="0.35">
      <c r="A6" t="s">
        <v>65</v>
      </c>
      <c r="B6" t="s">
        <v>33</v>
      </c>
      <c r="C6" t="s">
        <v>30</v>
      </c>
      <c r="D6" t="s">
        <v>34</v>
      </c>
      <c r="E6" t="s">
        <v>33</v>
      </c>
      <c r="F6">
        <v>629</v>
      </c>
      <c r="G6">
        <v>1</v>
      </c>
      <c r="H6" t="str">
        <f t="shared" si="0"/>
        <v>Si</v>
      </c>
    </row>
    <row r="7" spans="1:14" x14ac:dyDescent="0.35">
      <c r="A7" t="s">
        <v>35</v>
      </c>
      <c r="B7" t="s">
        <v>36</v>
      </c>
      <c r="C7" t="s">
        <v>30</v>
      </c>
      <c r="D7" t="s">
        <v>31</v>
      </c>
      <c r="E7" t="s">
        <v>36</v>
      </c>
      <c r="F7">
        <v>649</v>
      </c>
      <c r="G7">
        <v>1</v>
      </c>
      <c r="H7" t="str">
        <f t="shared" si="0"/>
        <v>Si</v>
      </c>
    </row>
    <row r="8" spans="1:14" x14ac:dyDescent="0.35">
      <c r="A8" t="s">
        <v>37</v>
      </c>
      <c r="B8" t="s">
        <v>38</v>
      </c>
      <c r="C8" t="s">
        <v>30</v>
      </c>
      <c r="D8" t="s">
        <v>39</v>
      </c>
      <c r="E8" t="s">
        <v>38</v>
      </c>
      <c r="F8">
        <v>79</v>
      </c>
      <c r="G8">
        <v>4</v>
      </c>
      <c r="H8" t="str">
        <f t="shared" si="0"/>
        <v>Si</v>
      </c>
    </row>
    <row r="9" spans="1:14" x14ac:dyDescent="0.35">
      <c r="A9" t="s">
        <v>40</v>
      </c>
      <c r="B9" t="s">
        <v>41</v>
      </c>
      <c r="C9" t="s">
        <v>30</v>
      </c>
      <c r="D9" t="s">
        <v>39</v>
      </c>
      <c r="E9" t="s">
        <v>41</v>
      </c>
      <c r="F9">
        <v>799</v>
      </c>
      <c r="G9">
        <v>1</v>
      </c>
      <c r="H9" t="str">
        <f t="shared" si="0"/>
        <v>Si</v>
      </c>
    </row>
    <row r="10" spans="1:14" x14ac:dyDescent="0.35">
      <c r="A10" t="s">
        <v>42</v>
      </c>
      <c r="B10" t="s">
        <v>43</v>
      </c>
      <c r="C10" t="s">
        <v>30</v>
      </c>
      <c r="D10" t="s">
        <v>31</v>
      </c>
      <c r="E10" t="s">
        <v>43</v>
      </c>
      <c r="F10">
        <v>499</v>
      </c>
      <c r="G10">
        <v>2</v>
      </c>
      <c r="H10" t="str">
        <f t="shared" si="0"/>
        <v>Si</v>
      </c>
    </row>
    <row r="11" spans="1:14" x14ac:dyDescent="0.35">
      <c r="A11" t="s">
        <v>44</v>
      </c>
      <c r="B11" t="s">
        <v>45</v>
      </c>
      <c r="C11" t="s">
        <v>30</v>
      </c>
      <c r="D11" t="s">
        <v>31</v>
      </c>
      <c r="E11" t="s">
        <v>45</v>
      </c>
      <c r="F11">
        <v>899</v>
      </c>
      <c r="G11">
        <v>1</v>
      </c>
      <c r="H11" t="str">
        <f t="shared" si="0"/>
        <v>Si</v>
      </c>
    </row>
    <row r="12" spans="1:14" x14ac:dyDescent="0.35">
      <c r="A12" t="s">
        <v>46</v>
      </c>
      <c r="B12" t="s">
        <v>47</v>
      </c>
      <c r="C12" t="s">
        <v>30</v>
      </c>
      <c r="D12" t="s">
        <v>34</v>
      </c>
      <c r="E12" t="s">
        <v>47</v>
      </c>
      <c r="F12">
        <v>519</v>
      </c>
      <c r="G12">
        <v>0</v>
      </c>
      <c r="H12" t="str">
        <f t="shared" si="0"/>
        <v>Agotado</v>
      </c>
    </row>
    <row r="13" spans="1:14" x14ac:dyDescent="0.35">
      <c r="A13" t="s">
        <v>131</v>
      </c>
      <c r="B13" t="s">
        <v>132</v>
      </c>
      <c r="C13" t="s">
        <v>30</v>
      </c>
      <c r="D13" t="s">
        <v>34</v>
      </c>
      <c r="E13" t="s">
        <v>47</v>
      </c>
      <c r="F13">
        <v>519</v>
      </c>
      <c r="G13">
        <v>0</v>
      </c>
      <c r="H13" t="str">
        <f t="shared" si="0"/>
        <v>Agotado</v>
      </c>
    </row>
    <row r="14" spans="1:14" x14ac:dyDescent="0.35">
      <c r="A14" t="s">
        <v>48</v>
      </c>
      <c r="B14" t="s">
        <v>49</v>
      </c>
      <c r="C14" t="s">
        <v>30</v>
      </c>
      <c r="D14" t="s">
        <v>39</v>
      </c>
      <c r="E14" t="s">
        <v>49</v>
      </c>
      <c r="F14">
        <v>799</v>
      </c>
      <c r="G14">
        <v>1</v>
      </c>
      <c r="H14" t="str">
        <f t="shared" si="0"/>
        <v>Si</v>
      </c>
    </row>
    <row r="15" spans="1:14" x14ac:dyDescent="0.35">
      <c r="A15" t="s">
        <v>50</v>
      </c>
      <c r="B15" t="s">
        <v>51</v>
      </c>
      <c r="C15" t="s">
        <v>30</v>
      </c>
      <c r="D15" t="s">
        <v>52</v>
      </c>
      <c r="E15" t="s">
        <v>51</v>
      </c>
      <c r="F15">
        <v>649</v>
      </c>
      <c r="G15">
        <v>1</v>
      </c>
      <c r="H15" t="str">
        <f t="shared" si="0"/>
        <v>Si</v>
      </c>
    </row>
    <row r="16" spans="1:14" x14ac:dyDescent="0.35">
      <c r="A16" t="s">
        <v>53</v>
      </c>
      <c r="B16" t="s">
        <v>54</v>
      </c>
      <c r="C16" t="s">
        <v>30</v>
      </c>
      <c r="D16" t="s">
        <v>52</v>
      </c>
      <c r="E16" t="s">
        <v>54</v>
      </c>
      <c r="F16">
        <v>649</v>
      </c>
      <c r="G16">
        <v>1</v>
      </c>
      <c r="H16" t="str">
        <f t="shared" si="0"/>
        <v>Si</v>
      </c>
    </row>
    <row r="17" spans="1:8" x14ac:dyDescent="0.35">
      <c r="A17" t="s">
        <v>55</v>
      </c>
      <c r="B17" t="s">
        <v>56</v>
      </c>
      <c r="C17" t="s">
        <v>30</v>
      </c>
      <c r="D17" t="s">
        <v>52</v>
      </c>
      <c r="E17" t="s">
        <v>56</v>
      </c>
      <c r="F17">
        <v>519</v>
      </c>
      <c r="G17">
        <v>1</v>
      </c>
      <c r="H17" t="str">
        <f t="shared" si="0"/>
        <v>Si</v>
      </c>
    </row>
    <row r="18" spans="1:8" x14ac:dyDescent="0.35">
      <c r="A18" t="s">
        <v>57</v>
      </c>
      <c r="B18" t="s">
        <v>58</v>
      </c>
      <c r="C18" t="s">
        <v>30</v>
      </c>
      <c r="D18" t="s">
        <v>52</v>
      </c>
      <c r="E18" t="s">
        <v>58</v>
      </c>
      <c r="F18">
        <v>649</v>
      </c>
      <c r="G18">
        <v>0</v>
      </c>
      <c r="H18" t="str">
        <f t="shared" si="0"/>
        <v>Agotado</v>
      </c>
    </row>
    <row r="19" spans="1:8" x14ac:dyDescent="0.35">
      <c r="A19" t="s">
        <v>59</v>
      </c>
      <c r="B19" t="s">
        <v>60</v>
      </c>
      <c r="C19" t="s">
        <v>30</v>
      </c>
      <c r="D19" t="s">
        <v>52</v>
      </c>
      <c r="E19" t="s">
        <v>60</v>
      </c>
      <c r="F19">
        <v>649</v>
      </c>
      <c r="G19">
        <v>1</v>
      </c>
      <c r="H19" t="str">
        <f t="shared" si="0"/>
        <v>Si</v>
      </c>
    </row>
    <row r="20" spans="1:8" x14ac:dyDescent="0.35">
      <c r="A20" t="s">
        <v>61</v>
      </c>
      <c r="B20" t="s">
        <v>62</v>
      </c>
      <c r="C20" t="s">
        <v>30</v>
      </c>
      <c r="D20" t="s">
        <v>52</v>
      </c>
      <c r="E20" t="s">
        <v>62</v>
      </c>
      <c r="F20">
        <v>649</v>
      </c>
      <c r="G20">
        <v>0</v>
      </c>
      <c r="H20" t="str">
        <f t="shared" si="0"/>
        <v>Agotado</v>
      </c>
    </row>
    <row r="21" spans="1:8" x14ac:dyDescent="0.35">
      <c r="A21" t="s">
        <v>63</v>
      </c>
      <c r="B21" t="s">
        <v>64</v>
      </c>
      <c r="C21" t="s">
        <v>30</v>
      </c>
      <c r="D21" t="s">
        <v>52</v>
      </c>
      <c r="E21" t="s">
        <v>64</v>
      </c>
      <c r="F21">
        <v>649</v>
      </c>
      <c r="G21">
        <v>0</v>
      </c>
      <c r="H21" t="str">
        <f t="shared" si="0"/>
        <v>Agotado</v>
      </c>
    </row>
    <row r="22" spans="1:8" x14ac:dyDescent="0.35">
      <c r="A22" t="s">
        <v>133</v>
      </c>
      <c r="B22" t="s">
        <v>135</v>
      </c>
      <c r="C22" t="s">
        <v>30</v>
      </c>
      <c r="D22" t="s">
        <v>34</v>
      </c>
      <c r="E22" t="s">
        <v>66</v>
      </c>
      <c r="F22">
        <v>249</v>
      </c>
      <c r="G22">
        <v>6</v>
      </c>
      <c r="H22" t="str">
        <f t="shared" si="0"/>
        <v>Si</v>
      </c>
    </row>
    <row r="23" spans="1:8" x14ac:dyDescent="0.35">
      <c r="A23" t="s">
        <v>134</v>
      </c>
      <c r="B23" t="s">
        <v>136</v>
      </c>
      <c r="C23" t="s">
        <v>30</v>
      </c>
      <c r="D23" t="s">
        <v>34</v>
      </c>
      <c r="E23" t="s">
        <v>66</v>
      </c>
      <c r="F23">
        <v>249</v>
      </c>
      <c r="G23">
        <v>6</v>
      </c>
      <c r="H23" t="str">
        <f t="shared" si="0"/>
        <v>Si</v>
      </c>
    </row>
    <row r="24" spans="1:8" x14ac:dyDescent="0.35">
      <c r="A24" t="s">
        <v>138</v>
      </c>
      <c r="B24" t="s">
        <v>137</v>
      </c>
      <c r="C24" t="s">
        <v>30</v>
      </c>
      <c r="D24" t="s">
        <v>34</v>
      </c>
      <c r="E24" t="s">
        <v>66</v>
      </c>
      <c r="F24">
        <v>249</v>
      </c>
      <c r="G24">
        <v>6</v>
      </c>
      <c r="H24" t="str">
        <f t="shared" si="0"/>
        <v>Si</v>
      </c>
    </row>
    <row r="25" spans="1:8" x14ac:dyDescent="0.35">
      <c r="A25" t="s">
        <v>140</v>
      </c>
      <c r="B25" t="s">
        <v>139</v>
      </c>
      <c r="C25" t="s">
        <v>30</v>
      </c>
      <c r="D25" t="s">
        <v>34</v>
      </c>
      <c r="E25" t="s">
        <v>66</v>
      </c>
      <c r="F25">
        <v>249</v>
      </c>
      <c r="G25">
        <v>6</v>
      </c>
      <c r="H25" t="str">
        <f t="shared" si="0"/>
        <v>Si</v>
      </c>
    </row>
    <row r="26" spans="1:8" x14ac:dyDescent="0.35">
      <c r="A26" t="s">
        <v>67</v>
      </c>
      <c r="B26" t="s">
        <v>68</v>
      </c>
      <c r="C26" t="s">
        <v>30</v>
      </c>
      <c r="D26" t="s">
        <v>69</v>
      </c>
      <c r="E26" t="s">
        <v>68</v>
      </c>
      <c r="F26">
        <v>299</v>
      </c>
      <c r="G26">
        <v>1</v>
      </c>
      <c r="H26" t="str">
        <f t="shared" si="0"/>
        <v>Si</v>
      </c>
    </row>
    <row r="27" spans="1:8" x14ac:dyDescent="0.35">
      <c r="A27" t="s">
        <v>70</v>
      </c>
      <c r="B27" t="s">
        <v>71</v>
      </c>
      <c r="C27" t="s">
        <v>30</v>
      </c>
      <c r="D27" t="s">
        <v>69</v>
      </c>
      <c r="E27" t="s">
        <v>71</v>
      </c>
      <c r="F27">
        <v>299</v>
      </c>
      <c r="G27">
        <v>1</v>
      </c>
      <c r="H27" t="str">
        <f t="shared" si="0"/>
        <v>Si</v>
      </c>
    </row>
    <row r="28" spans="1:8" x14ac:dyDescent="0.35">
      <c r="A28" t="s">
        <v>72</v>
      </c>
      <c r="B28" t="s">
        <v>73</v>
      </c>
      <c r="C28" t="s">
        <v>30</v>
      </c>
      <c r="D28" t="s">
        <v>69</v>
      </c>
      <c r="E28" t="s">
        <v>73</v>
      </c>
      <c r="F28">
        <v>549</v>
      </c>
      <c r="G28">
        <v>1</v>
      </c>
      <c r="H28" t="str">
        <f t="shared" si="0"/>
        <v>Si</v>
      </c>
    </row>
    <row r="29" spans="1:8" x14ac:dyDescent="0.35">
      <c r="A29" t="s">
        <v>74</v>
      </c>
      <c r="B29" t="s">
        <v>75</v>
      </c>
      <c r="C29" t="s">
        <v>30</v>
      </c>
      <c r="D29" t="s">
        <v>69</v>
      </c>
      <c r="E29" t="s">
        <v>75</v>
      </c>
      <c r="F29">
        <v>299</v>
      </c>
      <c r="G29">
        <v>1</v>
      </c>
      <c r="H29" t="str">
        <f t="shared" si="0"/>
        <v>Si</v>
      </c>
    </row>
    <row r="30" spans="1:8" x14ac:dyDescent="0.35">
      <c r="A30" t="s">
        <v>76</v>
      </c>
      <c r="B30" t="s">
        <v>77</v>
      </c>
      <c r="C30" t="s">
        <v>30</v>
      </c>
      <c r="D30" t="s">
        <v>69</v>
      </c>
      <c r="E30" t="s">
        <v>77</v>
      </c>
      <c r="F30">
        <v>499</v>
      </c>
      <c r="G30">
        <v>1</v>
      </c>
      <c r="H30" t="str">
        <f t="shared" si="0"/>
        <v>Si</v>
      </c>
    </row>
    <row r="31" spans="1:8" x14ac:dyDescent="0.35">
      <c r="A31" t="s">
        <v>78</v>
      </c>
      <c r="B31" t="s">
        <v>79</v>
      </c>
      <c r="C31" t="s">
        <v>30</v>
      </c>
      <c r="D31" t="s">
        <v>69</v>
      </c>
      <c r="E31" t="s">
        <v>79</v>
      </c>
      <c r="F31">
        <v>499</v>
      </c>
      <c r="G31">
        <v>1</v>
      </c>
      <c r="H31" t="str">
        <f t="shared" si="0"/>
        <v>Si</v>
      </c>
    </row>
    <row r="32" spans="1:8" x14ac:dyDescent="0.35">
      <c r="A32" t="s">
        <v>80</v>
      </c>
      <c r="B32" t="s">
        <v>141</v>
      </c>
      <c r="C32" t="s">
        <v>30</v>
      </c>
      <c r="D32" t="s">
        <v>31</v>
      </c>
      <c r="E32" t="s">
        <v>81</v>
      </c>
      <c r="F32">
        <v>149</v>
      </c>
      <c r="G32">
        <v>2</v>
      </c>
      <c r="H32" t="str">
        <f t="shared" si="0"/>
        <v>Si</v>
      </c>
    </row>
    <row r="33" spans="1:8" x14ac:dyDescent="0.35">
      <c r="A33" t="s">
        <v>82</v>
      </c>
      <c r="B33" t="s">
        <v>142</v>
      </c>
      <c r="C33" t="s">
        <v>30</v>
      </c>
      <c r="D33" t="s">
        <v>31</v>
      </c>
      <c r="E33" t="s">
        <v>81</v>
      </c>
      <c r="F33">
        <v>149</v>
      </c>
      <c r="G33">
        <v>2</v>
      </c>
      <c r="H33" t="str">
        <f t="shared" si="0"/>
        <v>Si</v>
      </c>
    </row>
    <row r="34" spans="1:8" x14ac:dyDescent="0.35">
      <c r="A34" t="s">
        <v>144</v>
      </c>
      <c r="B34" t="s">
        <v>143</v>
      </c>
      <c r="C34" t="s">
        <v>30</v>
      </c>
      <c r="D34" t="s">
        <v>31</v>
      </c>
      <c r="E34" t="s">
        <v>83</v>
      </c>
      <c r="F34">
        <v>399</v>
      </c>
      <c r="G34">
        <v>2</v>
      </c>
      <c r="H34" t="str">
        <f t="shared" si="0"/>
        <v>Si</v>
      </c>
    </row>
    <row r="35" spans="1:8" x14ac:dyDescent="0.35">
      <c r="A35" t="s">
        <v>145</v>
      </c>
      <c r="B35" t="s">
        <v>148</v>
      </c>
      <c r="C35" t="s">
        <v>30</v>
      </c>
      <c r="D35" t="s">
        <v>31</v>
      </c>
      <c r="E35" t="s">
        <v>83</v>
      </c>
      <c r="F35">
        <v>399</v>
      </c>
      <c r="G35">
        <v>2</v>
      </c>
      <c r="H35" t="str">
        <f t="shared" si="0"/>
        <v>Si</v>
      </c>
    </row>
    <row r="36" spans="1:8" x14ac:dyDescent="0.35">
      <c r="A36" t="s">
        <v>84</v>
      </c>
      <c r="B36" t="s">
        <v>85</v>
      </c>
      <c r="C36" t="s">
        <v>30</v>
      </c>
      <c r="D36" t="s">
        <v>69</v>
      </c>
      <c r="E36" t="s">
        <v>85</v>
      </c>
      <c r="F36">
        <v>349</v>
      </c>
      <c r="G36">
        <v>0</v>
      </c>
      <c r="H36" t="str">
        <f t="shared" si="0"/>
        <v>Agotado</v>
      </c>
    </row>
    <row r="37" spans="1:8" x14ac:dyDescent="0.35">
      <c r="A37" t="s">
        <v>86</v>
      </c>
      <c r="B37" t="s">
        <v>87</v>
      </c>
      <c r="C37" t="s">
        <v>30</v>
      </c>
      <c r="D37" t="s">
        <v>69</v>
      </c>
      <c r="E37" t="s">
        <v>87</v>
      </c>
      <c r="F37">
        <v>499</v>
      </c>
      <c r="G37">
        <v>0</v>
      </c>
      <c r="H37" t="str">
        <f t="shared" si="0"/>
        <v>Agotado</v>
      </c>
    </row>
    <row r="38" spans="1:8" x14ac:dyDescent="0.35">
      <c r="A38" t="s">
        <v>88</v>
      </c>
      <c r="B38" t="s">
        <v>150</v>
      </c>
      <c r="C38" t="s">
        <v>30</v>
      </c>
      <c r="D38" t="s">
        <v>31</v>
      </c>
      <c r="E38" t="s">
        <v>149</v>
      </c>
      <c r="F38">
        <v>349</v>
      </c>
      <c r="G38">
        <v>5</v>
      </c>
      <c r="H38" t="str">
        <f t="shared" si="0"/>
        <v>Si</v>
      </c>
    </row>
    <row r="39" spans="1:8" x14ac:dyDescent="0.35">
      <c r="A39" t="s">
        <v>146</v>
      </c>
      <c r="B39" t="s">
        <v>29</v>
      </c>
      <c r="C39" t="s">
        <v>30</v>
      </c>
      <c r="D39" t="s">
        <v>31</v>
      </c>
      <c r="E39" t="s">
        <v>147</v>
      </c>
      <c r="F39">
        <v>650</v>
      </c>
      <c r="G39">
        <v>2</v>
      </c>
      <c r="H39" t="str">
        <f t="shared" si="0"/>
        <v>Si</v>
      </c>
    </row>
    <row r="40" spans="1:8" x14ac:dyDescent="0.35">
      <c r="A40" t="s">
        <v>90</v>
      </c>
      <c r="B40" t="s">
        <v>91</v>
      </c>
      <c r="C40" t="s">
        <v>30</v>
      </c>
      <c r="D40" t="s">
        <v>39</v>
      </c>
      <c r="E40" t="s">
        <v>91</v>
      </c>
      <c r="F40">
        <v>340</v>
      </c>
      <c r="G40">
        <v>1</v>
      </c>
      <c r="H40" t="str">
        <f t="shared" si="0"/>
        <v>Si</v>
      </c>
    </row>
    <row r="41" spans="1:8" x14ac:dyDescent="0.35">
      <c r="A41" t="s">
        <v>92</v>
      </c>
      <c r="B41" t="s">
        <v>93</v>
      </c>
      <c r="C41" t="s">
        <v>30</v>
      </c>
      <c r="D41" t="s">
        <v>39</v>
      </c>
      <c r="E41" t="s">
        <v>93</v>
      </c>
      <c r="F41">
        <v>499</v>
      </c>
      <c r="G41">
        <v>2</v>
      </c>
      <c r="H41" t="str">
        <f t="shared" si="0"/>
        <v>Si</v>
      </c>
    </row>
    <row r="42" spans="1:8" x14ac:dyDescent="0.35">
      <c r="A42" t="s">
        <v>94</v>
      </c>
      <c r="B42" t="s">
        <v>95</v>
      </c>
      <c r="C42" t="s">
        <v>30</v>
      </c>
      <c r="D42" t="s">
        <v>31</v>
      </c>
      <c r="E42" t="s">
        <v>95</v>
      </c>
      <c r="F42">
        <v>449</v>
      </c>
      <c r="G42">
        <v>1</v>
      </c>
      <c r="H42" t="str">
        <f t="shared" si="0"/>
        <v>Si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workbookViewId="0">
      <selection activeCell="D1" sqref="D1"/>
    </sheetView>
  </sheetViews>
  <sheetFormatPr baseColWidth="10" defaultColWidth="8.7265625" defaultRowHeight="14.5" x14ac:dyDescent="0.35"/>
  <sheetData>
    <row r="1" spans="1:5" x14ac:dyDescent="0.35">
      <c r="A1" t="s">
        <v>96</v>
      </c>
      <c r="B1" t="s">
        <v>97</v>
      </c>
      <c r="C1" t="s">
        <v>98</v>
      </c>
      <c r="D1" t="s">
        <v>99</v>
      </c>
      <c r="E1" t="s">
        <v>100</v>
      </c>
    </row>
    <row r="2" spans="1:5" x14ac:dyDescent="0.35">
      <c r="A2">
        <v>9780593622476</v>
      </c>
      <c r="B2" t="s">
        <v>101</v>
      </c>
      <c r="C2">
        <v>2</v>
      </c>
      <c r="D2" t="s">
        <v>102</v>
      </c>
      <c r="E2">
        <f>732/3</f>
        <v>244</v>
      </c>
    </row>
    <row r="3" spans="1:5" x14ac:dyDescent="0.35">
      <c r="A3">
        <v>9780593622469</v>
      </c>
      <c r="B3" t="s">
        <v>103</v>
      </c>
      <c r="C3">
        <v>2</v>
      </c>
      <c r="D3" t="s">
        <v>102</v>
      </c>
      <c r="E3">
        <f>732/3</f>
        <v>244</v>
      </c>
    </row>
    <row r="4" spans="1:5" x14ac:dyDescent="0.35">
      <c r="A4">
        <v>9780593622452</v>
      </c>
      <c r="B4" t="s">
        <v>104</v>
      </c>
      <c r="C4">
        <v>2</v>
      </c>
      <c r="D4" t="s">
        <v>102</v>
      </c>
      <c r="E4">
        <f>732/3</f>
        <v>244</v>
      </c>
    </row>
    <row r="5" spans="1:5" x14ac:dyDescent="0.35">
      <c r="A5" t="s">
        <v>105</v>
      </c>
      <c r="B5" t="s">
        <v>106</v>
      </c>
      <c r="C5">
        <v>2</v>
      </c>
      <c r="D5">
        <v>18</v>
      </c>
      <c r="E5">
        <f>+D5*20</f>
        <v>360</v>
      </c>
    </row>
    <row r="6" spans="1:5" x14ac:dyDescent="0.35">
      <c r="A6" t="s">
        <v>107</v>
      </c>
      <c r="B6" t="s">
        <v>108</v>
      </c>
      <c r="C6">
        <v>10</v>
      </c>
      <c r="D6" t="s">
        <v>102</v>
      </c>
      <c r="E6">
        <v>5</v>
      </c>
    </row>
    <row r="7" spans="1:5" x14ac:dyDescent="0.35">
      <c r="A7" t="s">
        <v>109</v>
      </c>
      <c r="B7" t="s">
        <v>110</v>
      </c>
      <c r="C7">
        <v>50</v>
      </c>
      <c r="D7" t="s">
        <v>102</v>
      </c>
      <c r="E7">
        <v>10</v>
      </c>
    </row>
    <row r="8" spans="1:5" x14ac:dyDescent="0.35">
      <c r="A8" t="s">
        <v>111</v>
      </c>
      <c r="B8" t="s">
        <v>112</v>
      </c>
      <c r="C8">
        <v>2</v>
      </c>
      <c r="D8">
        <v>20</v>
      </c>
      <c r="E8">
        <f>+D8*20</f>
        <v>400</v>
      </c>
    </row>
    <row r="9" spans="1:5" x14ac:dyDescent="0.35">
      <c r="A9" t="s">
        <v>113</v>
      </c>
      <c r="B9" t="s">
        <v>114</v>
      </c>
      <c r="C9">
        <v>2</v>
      </c>
      <c r="D9">
        <v>25</v>
      </c>
      <c r="E9">
        <f>+D9*20</f>
        <v>500</v>
      </c>
    </row>
    <row r="10" spans="1:5" x14ac:dyDescent="0.35">
      <c r="A10" t="s">
        <v>28</v>
      </c>
      <c r="B10" t="s">
        <v>29</v>
      </c>
      <c r="C10">
        <v>1</v>
      </c>
      <c r="D10" t="s">
        <v>102</v>
      </c>
      <c r="E10">
        <v>432.2</v>
      </c>
    </row>
    <row r="11" spans="1:5" x14ac:dyDescent="0.35">
      <c r="A11" t="s">
        <v>32</v>
      </c>
      <c r="B11" t="s">
        <v>33</v>
      </c>
      <c r="C11">
        <v>1</v>
      </c>
      <c r="D11" t="s">
        <v>102</v>
      </c>
      <c r="E11">
        <v>432.03</v>
      </c>
    </row>
    <row r="12" spans="1:5" x14ac:dyDescent="0.35">
      <c r="A12" t="s">
        <v>35</v>
      </c>
      <c r="B12" t="s">
        <v>36</v>
      </c>
      <c r="C12">
        <v>1</v>
      </c>
      <c r="D12" t="s">
        <v>102</v>
      </c>
      <c r="E12">
        <v>483.89</v>
      </c>
    </row>
    <row r="13" spans="1:5" x14ac:dyDescent="0.35">
      <c r="A13" t="s">
        <v>37</v>
      </c>
      <c r="B13" t="s">
        <v>38</v>
      </c>
      <c r="C13">
        <v>4</v>
      </c>
      <c r="D13" t="s">
        <v>102</v>
      </c>
      <c r="E13">
        <v>46</v>
      </c>
    </row>
    <row r="14" spans="1:5" x14ac:dyDescent="0.35">
      <c r="A14" t="s">
        <v>40</v>
      </c>
      <c r="B14" t="s">
        <v>41</v>
      </c>
      <c r="C14">
        <v>1</v>
      </c>
      <c r="D14" t="s">
        <v>102</v>
      </c>
      <c r="E14">
        <v>553.22</v>
      </c>
    </row>
    <row r="15" spans="1:5" x14ac:dyDescent="0.35">
      <c r="A15" t="s">
        <v>42</v>
      </c>
      <c r="B15" t="s">
        <v>43</v>
      </c>
      <c r="C15">
        <v>2</v>
      </c>
      <c r="D15" t="s">
        <v>102</v>
      </c>
      <c r="E15">
        <v>414.91</v>
      </c>
    </row>
    <row r="16" spans="1:5" x14ac:dyDescent="0.35">
      <c r="A16" t="s">
        <v>44</v>
      </c>
      <c r="B16" t="s">
        <v>45</v>
      </c>
      <c r="C16">
        <v>1</v>
      </c>
      <c r="D16" t="s">
        <v>102</v>
      </c>
      <c r="E16">
        <v>604.91</v>
      </c>
    </row>
    <row r="17" spans="1:5" x14ac:dyDescent="0.35">
      <c r="A17" t="s">
        <v>46</v>
      </c>
      <c r="B17" t="s">
        <v>47</v>
      </c>
      <c r="C17">
        <v>0</v>
      </c>
      <c r="D17" t="s">
        <v>102</v>
      </c>
      <c r="E17">
        <v>345.59</v>
      </c>
    </row>
    <row r="18" spans="1:5" x14ac:dyDescent="0.35">
      <c r="A18" t="s">
        <v>48</v>
      </c>
      <c r="B18" t="s">
        <v>49</v>
      </c>
      <c r="C18">
        <v>1</v>
      </c>
      <c r="D18" t="s">
        <v>102</v>
      </c>
      <c r="E18">
        <v>553.22</v>
      </c>
    </row>
    <row r="19" spans="1:5" x14ac:dyDescent="0.35">
      <c r="A19" t="s">
        <v>50</v>
      </c>
      <c r="B19" t="s">
        <v>51</v>
      </c>
      <c r="C19">
        <v>1</v>
      </c>
      <c r="D19" t="s">
        <v>102</v>
      </c>
      <c r="E19">
        <v>432.2</v>
      </c>
    </row>
    <row r="20" spans="1:5" x14ac:dyDescent="0.35">
      <c r="A20" t="s">
        <v>53</v>
      </c>
      <c r="B20" t="s">
        <v>54</v>
      </c>
      <c r="C20">
        <v>1</v>
      </c>
      <c r="D20" t="s">
        <v>102</v>
      </c>
      <c r="E20">
        <v>432.03</v>
      </c>
    </row>
    <row r="21" spans="1:5" x14ac:dyDescent="0.35">
      <c r="A21" t="s">
        <v>55</v>
      </c>
      <c r="B21" t="s">
        <v>56</v>
      </c>
      <c r="C21">
        <v>1</v>
      </c>
      <c r="D21" t="s">
        <v>102</v>
      </c>
      <c r="E21">
        <v>345.59</v>
      </c>
    </row>
    <row r="22" spans="1:5" x14ac:dyDescent="0.35">
      <c r="A22" t="s">
        <v>57</v>
      </c>
      <c r="B22" t="s">
        <v>58</v>
      </c>
      <c r="C22">
        <v>0</v>
      </c>
      <c r="D22" t="s">
        <v>102</v>
      </c>
      <c r="E22">
        <v>465.91</v>
      </c>
    </row>
    <row r="23" spans="1:5" x14ac:dyDescent="0.35">
      <c r="A23" t="s">
        <v>59</v>
      </c>
      <c r="B23" t="s">
        <v>60</v>
      </c>
      <c r="C23">
        <v>1</v>
      </c>
      <c r="D23" t="s">
        <v>102</v>
      </c>
      <c r="E23">
        <v>432.03</v>
      </c>
    </row>
    <row r="24" spans="1:5" x14ac:dyDescent="0.35">
      <c r="A24" t="s">
        <v>61</v>
      </c>
      <c r="B24" t="s">
        <v>62</v>
      </c>
      <c r="C24">
        <v>0</v>
      </c>
      <c r="D24" t="s">
        <v>102</v>
      </c>
      <c r="E24">
        <v>432.03</v>
      </c>
    </row>
    <row r="25" spans="1:5" x14ac:dyDescent="0.35">
      <c r="A25" t="s">
        <v>63</v>
      </c>
      <c r="B25" t="s">
        <v>64</v>
      </c>
      <c r="C25">
        <v>0</v>
      </c>
      <c r="D25" t="s">
        <v>102</v>
      </c>
      <c r="E25">
        <v>432.03</v>
      </c>
    </row>
    <row r="26" spans="1:5" x14ac:dyDescent="0.35">
      <c r="A26" t="s">
        <v>65</v>
      </c>
      <c r="B26" t="s">
        <v>66</v>
      </c>
      <c r="C26">
        <v>6</v>
      </c>
      <c r="D26" t="s">
        <v>102</v>
      </c>
      <c r="E26">
        <v>122.5</v>
      </c>
    </row>
    <row r="27" spans="1:5" x14ac:dyDescent="0.35">
      <c r="A27" t="s">
        <v>67</v>
      </c>
      <c r="B27" t="s">
        <v>68</v>
      </c>
      <c r="C27">
        <v>1</v>
      </c>
      <c r="D27" t="s">
        <v>102</v>
      </c>
      <c r="E27">
        <v>192.5</v>
      </c>
    </row>
    <row r="28" spans="1:5" x14ac:dyDescent="0.35">
      <c r="A28" t="s">
        <v>70</v>
      </c>
      <c r="B28" t="s">
        <v>71</v>
      </c>
      <c r="C28">
        <v>1</v>
      </c>
      <c r="D28" t="s">
        <v>102</v>
      </c>
      <c r="E28">
        <v>192.5</v>
      </c>
    </row>
    <row r="29" spans="1:5" x14ac:dyDescent="0.35">
      <c r="A29" t="s">
        <v>72</v>
      </c>
      <c r="B29" t="s">
        <v>73</v>
      </c>
      <c r="C29">
        <v>1</v>
      </c>
      <c r="D29" t="s">
        <v>102</v>
      </c>
      <c r="E29">
        <v>350</v>
      </c>
    </row>
    <row r="30" spans="1:5" x14ac:dyDescent="0.35">
      <c r="A30" t="s">
        <v>74</v>
      </c>
      <c r="B30" t="s">
        <v>75</v>
      </c>
      <c r="C30">
        <v>1</v>
      </c>
      <c r="D30" t="s">
        <v>102</v>
      </c>
      <c r="E30">
        <v>192.5</v>
      </c>
    </row>
    <row r="31" spans="1:5" x14ac:dyDescent="0.35">
      <c r="A31" t="s">
        <v>76</v>
      </c>
      <c r="B31" t="s">
        <v>77</v>
      </c>
      <c r="C31">
        <v>1</v>
      </c>
      <c r="D31" t="s">
        <v>102</v>
      </c>
      <c r="E31">
        <v>330</v>
      </c>
    </row>
    <row r="32" spans="1:5" x14ac:dyDescent="0.35">
      <c r="A32" t="s">
        <v>78</v>
      </c>
      <c r="B32" t="s">
        <v>79</v>
      </c>
      <c r="C32">
        <v>1</v>
      </c>
      <c r="D32" t="s">
        <v>102</v>
      </c>
      <c r="E32">
        <v>330</v>
      </c>
    </row>
    <row r="33" spans="1:5" x14ac:dyDescent="0.35">
      <c r="A33" t="s">
        <v>80</v>
      </c>
      <c r="B33" t="s">
        <v>81</v>
      </c>
      <c r="C33">
        <v>2</v>
      </c>
      <c r="D33" t="s">
        <v>102</v>
      </c>
      <c r="E33">
        <v>80</v>
      </c>
    </row>
    <row r="34" spans="1:5" x14ac:dyDescent="0.35">
      <c r="A34" t="s">
        <v>82</v>
      </c>
      <c r="B34" t="s">
        <v>83</v>
      </c>
      <c r="C34">
        <v>2</v>
      </c>
      <c r="D34" t="s">
        <v>102</v>
      </c>
      <c r="E34">
        <v>220</v>
      </c>
    </row>
    <row r="35" spans="1:5" x14ac:dyDescent="0.35">
      <c r="A35" t="s">
        <v>84</v>
      </c>
      <c r="B35" t="s">
        <v>85</v>
      </c>
      <c r="C35">
        <v>0</v>
      </c>
      <c r="D35" t="s">
        <v>102</v>
      </c>
      <c r="E35">
        <v>215</v>
      </c>
    </row>
    <row r="36" spans="1:5" x14ac:dyDescent="0.35">
      <c r="A36" t="s">
        <v>86</v>
      </c>
      <c r="B36" t="s">
        <v>87</v>
      </c>
      <c r="C36">
        <v>0</v>
      </c>
      <c r="D36" t="s">
        <v>102</v>
      </c>
      <c r="E36">
        <v>330</v>
      </c>
    </row>
    <row r="37" spans="1:5" x14ac:dyDescent="0.35">
      <c r="A37" t="s">
        <v>88</v>
      </c>
      <c r="B37" t="s">
        <v>89</v>
      </c>
      <c r="C37">
        <v>5</v>
      </c>
      <c r="D37" t="s">
        <v>102</v>
      </c>
    </row>
    <row r="38" spans="1:5" x14ac:dyDescent="0.35">
      <c r="A38" t="s">
        <v>90</v>
      </c>
      <c r="B38" t="s">
        <v>91</v>
      </c>
      <c r="C38">
        <v>1</v>
      </c>
      <c r="D38" t="s">
        <v>102</v>
      </c>
      <c r="E38">
        <v>170</v>
      </c>
    </row>
    <row r="39" spans="1:5" x14ac:dyDescent="0.35">
      <c r="A39" t="s">
        <v>92</v>
      </c>
      <c r="B39" t="s">
        <v>93</v>
      </c>
      <c r="C39">
        <v>2</v>
      </c>
      <c r="D39" t="s">
        <v>102</v>
      </c>
      <c r="E39">
        <v>280</v>
      </c>
    </row>
    <row r="40" spans="1:5" x14ac:dyDescent="0.35">
      <c r="A40" t="s">
        <v>94</v>
      </c>
      <c r="B40" t="s">
        <v>95</v>
      </c>
      <c r="C40">
        <v>1</v>
      </c>
      <c r="D40" t="s">
        <v>102</v>
      </c>
      <c r="E40">
        <v>330</v>
      </c>
    </row>
    <row r="41" spans="1:5" x14ac:dyDescent="0.35">
      <c r="A41" t="s">
        <v>115</v>
      </c>
      <c r="B41" t="s">
        <v>116</v>
      </c>
      <c r="D41" t="s">
        <v>102</v>
      </c>
      <c r="E41">
        <v>150</v>
      </c>
    </row>
    <row r="42" spans="1:5" x14ac:dyDescent="0.35">
      <c r="A42" t="s">
        <v>117</v>
      </c>
      <c r="B42" t="s">
        <v>118</v>
      </c>
      <c r="D42" t="s">
        <v>102</v>
      </c>
      <c r="E42">
        <v>150</v>
      </c>
    </row>
    <row r="43" spans="1:5" x14ac:dyDescent="0.35">
      <c r="A43" t="s">
        <v>119</v>
      </c>
      <c r="B43" t="s">
        <v>120</v>
      </c>
      <c r="D43" t="s">
        <v>102</v>
      </c>
      <c r="E43">
        <v>150</v>
      </c>
    </row>
    <row r="44" spans="1:5" x14ac:dyDescent="0.35">
      <c r="A44" t="s">
        <v>121</v>
      </c>
      <c r="B44" t="s">
        <v>122</v>
      </c>
      <c r="D44" t="s">
        <v>102</v>
      </c>
      <c r="E44">
        <v>150</v>
      </c>
    </row>
    <row r="45" spans="1:5" x14ac:dyDescent="0.35">
      <c r="A45" t="s">
        <v>123</v>
      </c>
      <c r="B45" t="s">
        <v>124</v>
      </c>
      <c r="D45" t="s">
        <v>102</v>
      </c>
      <c r="E45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opLeftCell="A2" workbookViewId="0">
      <selection activeCell="G21" sqref="G21"/>
    </sheetView>
  </sheetViews>
  <sheetFormatPr baseColWidth="10" defaultColWidth="8.7265625" defaultRowHeight="14.5" x14ac:dyDescent="0.35"/>
  <sheetData>
    <row r="1" spans="1:7" x14ac:dyDescent="0.35">
      <c r="A1" t="s">
        <v>125</v>
      </c>
      <c r="B1" t="s">
        <v>96</v>
      </c>
      <c r="C1" t="s">
        <v>97</v>
      </c>
      <c r="D1" t="s">
        <v>126</v>
      </c>
      <c r="E1" t="s">
        <v>127</v>
      </c>
      <c r="F1" t="s">
        <v>128</v>
      </c>
      <c r="G1" t="s">
        <v>129</v>
      </c>
    </row>
    <row r="2" spans="1:7" x14ac:dyDescent="0.35">
      <c r="A2" t="s">
        <v>14</v>
      </c>
      <c r="B2">
        <v>9780593622476</v>
      </c>
      <c r="C2" t="s">
        <v>101</v>
      </c>
      <c r="D2">
        <f>+VLOOKUP(B2,COMPONENTES!A:E,5,0)</f>
        <v>244</v>
      </c>
      <c r="E2">
        <v>1</v>
      </c>
      <c r="F2">
        <f>+SUMIF(COMPONENTES!A:A,KITS!B2,COMPONENTES!C:C)</f>
        <v>2</v>
      </c>
      <c r="G2">
        <f t="shared" ref="G2:G21" si="0">ROUNDDOWN(F2/E2,0)</f>
        <v>2</v>
      </c>
    </row>
    <row r="3" spans="1:7" x14ac:dyDescent="0.35">
      <c r="A3" t="s">
        <v>14</v>
      </c>
      <c r="B3" t="s">
        <v>113</v>
      </c>
      <c r="C3" t="s">
        <v>114</v>
      </c>
      <c r="D3">
        <f>+VLOOKUP(B3,COMPONENTES!A:E,5,0)</f>
        <v>500</v>
      </c>
      <c r="E3">
        <v>1</v>
      </c>
      <c r="F3">
        <f>+SUMIF(COMPONENTES!A:A,KITS!B3,COMPONENTES!C:C)</f>
        <v>2</v>
      </c>
      <c r="G3">
        <f t="shared" si="0"/>
        <v>2</v>
      </c>
    </row>
    <row r="4" spans="1:7" x14ac:dyDescent="0.35">
      <c r="A4" t="s">
        <v>14</v>
      </c>
      <c r="B4" t="s">
        <v>117</v>
      </c>
      <c r="C4" t="s">
        <v>118</v>
      </c>
      <c r="D4">
        <f>+VLOOKUP(B4,COMPONENTES!A:E,5,0)</f>
        <v>150</v>
      </c>
      <c r="E4">
        <v>1</v>
      </c>
      <c r="F4">
        <f>+SUMIF(COMPONENTES!A:A,KITS!B4,COMPONENTES!C:C)</f>
        <v>0</v>
      </c>
      <c r="G4">
        <f t="shared" si="0"/>
        <v>0</v>
      </c>
    </row>
    <row r="5" spans="1:7" x14ac:dyDescent="0.35">
      <c r="A5" t="s">
        <v>14</v>
      </c>
      <c r="B5" t="s">
        <v>37</v>
      </c>
      <c r="C5" t="s">
        <v>38</v>
      </c>
      <c r="D5">
        <f>+VLOOKUP(B5,COMPONENTES!A:E,5,0)</f>
        <v>46</v>
      </c>
      <c r="E5">
        <v>1</v>
      </c>
      <c r="F5">
        <f>+SUMIF(COMPONENTES!A:A,KITS!B5,COMPONENTES!C:C)</f>
        <v>4</v>
      </c>
      <c r="G5">
        <f t="shared" si="0"/>
        <v>4</v>
      </c>
    </row>
    <row r="6" spans="1:7" x14ac:dyDescent="0.35">
      <c r="A6" t="s">
        <v>14</v>
      </c>
      <c r="B6" t="s">
        <v>123</v>
      </c>
      <c r="C6" t="s">
        <v>124</v>
      </c>
      <c r="D6">
        <f>+VLOOKUP(B6,COMPONENTES!A:E,5,0)</f>
        <v>10</v>
      </c>
      <c r="E6">
        <v>1</v>
      </c>
      <c r="F6">
        <f>+SUMIF(COMPONENTES!A:A,KITS!B6,COMPONENTES!C:C)</f>
        <v>0</v>
      </c>
      <c r="G6">
        <f t="shared" si="0"/>
        <v>0</v>
      </c>
    </row>
    <row r="7" spans="1:7" x14ac:dyDescent="0.35">
      <c r="A7" t="s">
        <v>19</v>
      </c>
      <c r="B7">
        <v>9780593622452</v>
      </c>
      <c r="C7" t="s">
        <v>104</v>
      </c>
      <c r="D7">
        <f>+VLOOKUP(B7,COMPONENTES!A:E,5,0)</f>
        <v>244</v>
      </c>
      <c r="E7">
        <v>1</v>
      </c>
      <c r="F7">
        <f>+SUMIF(COMPONENTES!A:A,KITS!B7,COMPONENTES!C:C)</f>
        <v>2</v>
      </c>
      <c r="G7">
        <f t="shared" si="0"/>
        <v>2</v>
      </c>
    </row>
    <row r="8" spans="1:7" x14ac:dyDescent="0.35">
      <c r="A8" t="s">
        <v>19</v>
      </c>
      <c r="B8" t="s">
        <v>50</v>
      </c>
      <c r="C8" t="s">
        <v>51</v>
      </c>
      <c r="D8">
        <f>+VLOOKUP(B8,COMPONENTES!A:E,5,0)</f>
        <v>432.2</v>
      </c>
      <c r="E8">
        <v>1</v>
      </c>
      <c r="F8">
        <f>+SUMIF(COMPONENTES!A:A,KITS!B8,COMPONENTES!C:C)</f>
        <v>1</v>
      </c>
      <c r="G8">
        <f t="shared" si="0"/>
        <v>1</v>
      </c>
    </row>
    <row r="9" spans="1:7" x14ac:dyDescent="0.35">
      <c r="A9" t="s">
        <v>19</v>
      </c>
      <c r="B9" t="s">
        <v>115</v>
      </c>
      <c r="C9" t="s">
        <v>116</v>
      </c>
      <c r="D9">
        <f>+VLOOKUP(B9,COMPONENTES!A:E,5,0)</f>
        <v>150</v>
      </c>
      <c r="E9">
        <v>1</v>
      </c>
      <c r="F9">
        <f>+SUMIF(COMPONENTES!A:A,KITS!B9,COMPONENTES!C:C)</f>
        <v>0</v>
      </c>
      <c r="G9">
        <f t="shared" si="0"/>
        <v>0</v>
      </c>
    </row>
    <row r="10" spans="1:7" x14ac:dyDescent="0.35">
      <c r="A10" t="s">
        <v>19</v>
      </c>
      <c r="B10" t="s">
        <v>37</v>
      </c>
      <c r="C10" t="s">
        <v>38</v>
      </c>
      <c r="D10">
        <f>+VLOOKUP(B10,COMPONENTES!A:E,5,0)</f>
        <v>46</v>
      </c>
      <c r="E10">
        <v>1</v>
      </c>
      <c r="F10">
        <f>+SUMIF(COMPONENTES!A:A,KITS!B10,COMPONENTES!C:C)</f>
        <v>4</v>
      </c>
      <c r="G10">
        <f t="shared" si="0"/>
        <v>4</v>
      </c>
    </row>
    <row r="11" spans="1:7" x14ac:dyDescent="0.35">
      <c r="A11" t="s">
        <v>19</v>
      </c>
      <c r="B11" t="s">
        <v>123</v>
      </c>
      <c r="C11" t="s">
        <v>124</v>
      </c>
      <c r="D11">
        <f>+VLOOKUP(B11,COMPONENTES!A:E,5,0)</f>
        <v>10</v>
      </c>
      <c r="E11">
        <v>1</v>
      </c>
      <c r="F11">
        <f>+SUMIF(COMPONENTES!A:A,KITS!B11,COMPONENTES!C:C)</f>
        <v>0</v>
      </c>
      <c r="G11">
        <f t="shared" si="0"/>
        <v>0</v>
      </c>
    </row>
    <row r="12" spans="1:7" x14ac:dyDescent="0.35">
      <c r="A12" t="s">
        <v>22</v>
      </c>
      <c r="B12">
        <v>9780593622469</v>
      </c>
      <c r="C12" t="s">
        <v>103</v>
      </c>
      <c r="D12">
        <f>+VLOOKUP(B12,COMPONENTES!A:E,5,0)</f>
        <v>244</v>
      </c>
      <c r="E12">
        <v>1</v>
      </c>
      <c r="F12">
        <f>+SUMIF(COMPONENTES!A:A,KITS!B12,COMPONENTES!C:C)</f>
        <v>2</v>
      </c>
      <c r="G12">
        <f t="shared" si="0"/>
        <v>2</v>
      </c>
    </row>
    <row r="13" spans="1:7" x14ac:dyDescent="0.35">
      <c r="A13" t="s">
        <v>22</v>
      </c>
      <c r="B13" t="s">
        <v>113</v>
      </c>
      <c r="C13" t="s">
        <v>130</v>
      </c>
      <c r="D13">
        <f>+VLOOKUP(B13,COMPONENTES!A:E,5,0)</f>
        <v>500</v>
      </c>
      <c r="E13">
        <v>1</v>
      </c>
      <c r="F13">
        <f>+SUMIF(COMPONENTES!A:A,KITS!B13,COMPONENTES!C:C)</f>
        <v>2</v>
      </c>
      <c r="G13">
        <f t="shared" si="0"/>
        <v>2</v>
      </c>
    </row>
    <row r="14" spans="1:7" x14ac:dyDescent="0.35">
      <c r="A14" t="s">
        <v>22</v>
      </c>
      <c r="B14" t="s">
        <v>121</v>
      </c>
      <c r="C14" t="s">
        <v>122</v>
      </c>
      <c r="D14">
        <f>+VLOOKUP(B14,COMPONENTES!A:E,5,0)</f>
        <v>150</v>
      </c>
      <c r="E14">
        <v>1</v>
      </c>
      <c r="F14">
        <f>+SUMIF(COMPONENTES!A:A,KITS!B14,COMPONENTES!C:C)</f>
        <v>0</v>
      </c>
      <c r="G14">
        <f t="shared" si="0"/>
        <v>0</v>
      </c>
    </row>
    <row r="15" spans="1:7" x14ac:dyDescent="0.35">
      <c r="A15" t="s">
        <v>22</v>
      </c>
      <c r="B15" t="s">
        <v>37</v>
      </c>
      <c r="C15" t="s">
        <v>38</v>
      </c>
      <c r="D15">
        <f>+VLOOKUP(B15,COMPONENTES!A:E,5,0)</f>
        <v>46</v>
      </c>
      <c r="E15">
        <v>1</v>
      </c>
      <c r="F15">
        <f>+SUMIF(COMPONENTES!A:A,KITS!B15,COMPONENTES!C:C)</f>
        <v>4</v>
      </c>
      <c r="G15">
        <f t="shared" si="0"/>
        <v>4</v>
      </c>
    </row>
    <row r="16" spans="1:7" x14ac:dyDescent="0.35">
      <c r="A16" t="s">
        <v>22</v>
      </c>
      <c r="B16" t="s">
        <v>123</v>
      </c>
      <c r="C16" t="s">
        <v>124</v>
      </c>
      <c r="D16">
        <f>+VLOOKUP(B16,COMPONENTES!A:E,5,0)</f>
        <v>10</v>
      </c>
      <c r="E16">
        <v>1</v>
      </c>
      <c r="F16">
        <f>+SUMIF(COMPONENTES!A:A,KITS!B16,COMPONENTES!C:C)</f>
        <v>0</v>
      </c>
      <c r="G16">
        <f t="shared" si="0"/>
        <v>0</v>
      </c>
    </row>
    <row r="17" spans="1:7" x14ac:dyDescent="0.35">
      <c r="A17" t="s">
        <v>25</v>
      </c>
      <c r="B17" t="s">
        <v>84</v>
      </c>
      <c r="C17" t="s">
        <v>85</v>
      </c>
      <c r="D17">
        <f>+VLOOKUP(B17,COMPONENTES!A:E,5,0)</f>
        <v>215</v>
      </c>
      <c r="E17">
        <v>1</v>
      </c>
      <c r="F17">
        <f>+SUMIF(COMPONENTES!A:A,KITS!B17,COMPONENTES!C:C)</f>
        <v>0</v>
      </c>
      <c r="G17">
        <f t="shared" si="0"/>
        <v>0</v>
      </c>
    </row>
    <row r="18" spans="1:7" x14ac:dyDescent="0.35">
      <c r="A18" t="s">
        <v>25</v>
      </c>
      <c r="B18" t="s">
        <v>113</v>
      </c>
      <c r="C18" t="s">
        <v>114</v>
      </c>
      <c r="D18">
        <f>+VLOOKUP(B18,COMPONENTES!A:E,5,0)</f>
        <v>500</v>
      </c>
      <c r="E18">
        <v>1</v>
      </c>
      <c r="F18">
        <f>+SUMIF(COMPONENTES!A:A,KITS!B18,COMPONENTES!C:C)</f>
        <v>2</v>
      </c>
      <c r="G18">
        <f t="shared" si="0"/>
        <v>2</v>
      </c>
    </row>
    <row r="19" spans="1:7" x14ac:dyDescent="0.35">
      <c r="A19" t="s">
        <v>25</v>
      </c>
      <c r="B19" t="s">
        <v>119</v>
      </c>
      <c r="C19" t="s">
        <v>120</v>
      </c>
      <c r="D19">
        <f>+VLOOKUP(B19,COMPONENTES!A:E,5,0)</f>
        <v>150</v>
      </c>
      <c r="E19">
        <v>1</v>
      </c>
      <c r="F19">
        <f>+SUMIF(COMPONENTES!A:A,KITS!B19,COMPONENTES!C:C)</f>
        <v>0</v>
      </c>
      <c r="G19">
        <f t="shared" si="0"/>
        <v>0</v>
      </c>
    </row>
    <row r="20" spans="1:7" x14ac:dyDescent="0.35">
      <c r="A20" t="s">
        <v>25</v>
      </c>
      <c r="B20" t="s">
        <v>37</v>
      </c>
      <c r="C20" t="s">
        <v>38</v>
      </c>
      <c r="D20">
        <f>+VLOOKUP(B20,COMPONENTES!A:E,5,0)</f>
        <v>46</v>
      </c>
      <c r="E20">
        <v>1</v>
      </c>
      <c r="F20">
        <f>+SUMIF(COMPONENTES!A:A,KITS!B20,COMPONENTES!C:C)</f>
        <v>4</v>
      </c>
      <c r="G20">
        <f t="shared" si="0"/>
        <v>4</v>
      </c>
    </row>
    <row r="21" spans="1:7" x14ac:dyDescent="0.35">
      <c r="A21" t="s">
        <v>25</v>
      </c>
      <c r="B21" t="s">
        <v>123</v>
      </c>
      <c r="C21" t="s">
        <v>124</v>
      </c>
      <c r="D21">
        <f>+VLOOKUP(B21,COMPONENTES!A:E,5,0)</f>
        <v>10</v>
      </c>
      <c r="E21">
        <v>2</v>
      </c>
      <c r="F21">
        <f>+SUMIF(COMPONENTES!A:A,KITS!B21,COMPONENTES!C:C)</f>
        <v>0</v>
      </c>
      <c r="G21">
        <f t="shared" si="0"/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selection activeCell="A7" sqref="A7"/>
    </sheetView>
  </sheetViews>
  <sheetFormatPr baseColWidth="10" defaultColWidth="8.7265625" defaultRowHeight="14.5" x14ac:dyDescent="0.35"/>
  <sheetData>
    <row r="1" spans="1:5" x14ac:dyDescent="0.35">
      <c r="A1" t="s">
        <v>0</v>
      </c>
      <c r="B1" t="s">
        <v>97</v>
      </c>
      <c r="C1" t="s">
        <v>5</v>
      </c>
      <c r="D1" t="s">
        <v>126</v>
      </c>
      <c r="E1" t="s">
        <v>6</v>
      </c>
    </row>
    <row r="2" spans="1:5" x14ac:dyDescent="0.35">
      <c r="A2" t="s">
        <v>14</v>
      </c>
      <c r="B2" t="s">
        <v>15</v>
      </c>
      <c r="C2">
        <v>1499</v>
      </c>
      <c r="D2">
        <f>+SUMIFS(KITS!$D:$D,KITS!$A:$A,STOCK_AUTOMATICO!$A2)</f>
        <v>950</v>
      </c>
      <c r="E2">
        <f t="array" ref="E2">MIN(IF(KITS!$A$2:$A$500=A2,KITS!$F$2:$F$500))</f>
        <v>0</v>
      </c>
    </row>
    <row r="3" spans="1:5" x14ac:dyDescent="0.35">
      <c r="A3" t="s">
        <v>19</v>
      </c>
      <c r="B3" t="s">
        <v>20</v>
      </c>
      <c r="C3">
        <v>1499</v>
      </c>
      <c r="D3">
        <f>+SUMIFS(KITS!$D:$D,KITS!$A:$A,STOCK_AUTOMATICO!$A3)</f>
        <v>882.2</v>
      </c>
      <c r="E3">
        <f t="array" ref="E3">MIN(IF(KITS!$A$2:$A$500=A3,KITS!$F$2:$F$500))</f>
        <v>0</v>
      </c>
    </row>
    <row r="4" spans="1:5" x14ac:dyDescent="0.35">
      <c r="A4" t="s">
        <v>22</v>
      </c>
      <c r="B4" t="s">
        <v>23</v>
      </c>
      <c r="C4">
        <v>1499</v>
      </c>
      <c r="D4">
        <f>+SUMIFS(KITS!$D:$D,KITS!$A:$A,STOCK_AUTOMATICO!$A4)</f>
        <v>950</v>
      </c>
      <c r="E4">
        <f t="array" ref="E4">MIN(IF(KITS!$A$2:$A$500=A4,KITS!$F$2:$F$500))</f>
        <v>0</v>
      </c>
    </row>
    <row r="5" spans="1:5" x14ac:dyDescent="0.35">
      <c r="A5" t="s">
        <v>25</v>
      </c>
      <c r="B5" t="s">
        <v>26</v>
      </c>
      <c r="C5">
        <v>1499</v>
      </c>
      <c r="D5">
        <f>+SUMIFS(KITS!$D:$D,KITS!$A:$A,STOCK_AUTOMATICO!$A5)</f>
        <v>921</v>
      </c>
      <c r="E5">
        <f t="array" ref="E5">MIN(IF(KITS!$A$2:$A$500=A5,KITS!$F$2:$F$500))</f>
        <v>0</v>
      </c>
    </row>
    <row r="6" spans="1:5" x14ac:dyDescent="0.35">
      <c r="A6" t="s">
        <v>28</v>
      </c>
      <c r="B6" t="s">
        <v>29</v>
      </c>
      <c r="C6">
        <v>649</v>
      </c>
      <c r="D6">
        <v>432.2</v>
      </c>
      <c r="E6">
        <v>1</v>
      </c>
    </row>
    <row r="7" spans="1:5" x14ac:dyDescent="0.35">
      <c r="A7" t="s">
        <v>32</v>
      </c>
      <c r="B7" t="s">
        <v>33</v>
      </c>
      <c r="C7">
        <v>649</v>
      </c>
      <c r="D7">
        <v>432.03</v>
      </c>
      <c r="E7">
        <v>1</v>
      </c>
    </row>
    <row r="8" spans="1:5" x14ac:dyDescent="0.35">
      <c r="A8" t="s">
        <v>35</v>
      </c>
      <c r="B8" t="s">
        <v>36</v>
      </c>
      <c r="C8">
        <v>649</v>
      </c>
      <c r="D8">
        <v>483.89</v>
      </c>
      <c r="E8">
        <v>1</v>
      </c>
    </row>
    <row r="9" spans="1:5" x14ac:dyDescent="0.35">
      <c r="A9" t="s">
        <v>37</v>
      </c>
      <c r="B9" t="s">
        <v>38</v>
      </c>
      <c r="C9">
        <v>79</v>
      </c>
      <c r="D9">
        <v>46</v>
      </c>
      <c r="E9">
        <v>4</v>
      </c>
    </row>
    <row r="10" spans="1:5" x14ac:dyDescent="0.35">
      <c r="A10" t="s">
        <v>40</v>
      </c>
      <c r="B10" t="s">
        <v>41</v>
      </c>
      <c r="C10">
        <v>799</v>
      </c>
      <c r="D10">
        <v>553.22</v>
      </c>
      <c r="E10">
        <v>1</v>
      </c>
    </row>
    <row r="11" spans="1:5" x14ac:dyDescent="0.35">
      <c r="A11" t="s">
        <v>42</v>
      </c>
      <c r="B11" t="s">
        <v>43</v>
      </c>
      <c r="C11">
        <v>499</v>
      </c>
      <c r="D11">
        <v>414.91</v>
      </c>
      <c r="E11">
        <v>2</v>
      </c>
    </row>
    <row r="12" spans="1:5" x14ac:dyDescent="0.35">
      <c r="A12" t="s">
        <v>44</v>
      </c>
      <c r="B12" t="s">
        <v>45</v>
      </c>
      <c r="C12">
        <v>899</v>
      </c>
      <c r="D12">
        <v>604.91</v>
      </c>
      <c r="E12">
        <v>1</v>
      </c>
    </row>
    <row r="13" spans="1:5" x14ac:dyDescent="0.35">
      <c r="A13" t="s">
        <v>46</v>
      </c>
      <c r="B13" t="s">
        <v>47</v>
      </c>
      <c r="C13">
        <v>519</v>
      </c>
      <c r="D13">
        <v>345.59</v>
      </c>
      <c r="E13">
        <v>0</v>
      </c>
    </row>
    <row r="14" spans="1:5" x14ac:dyDescent="0.35">
      <c r="A14" t="s">
        <v>48</v>
      </c>
      <c r="B14" t="s">
        <v>49</v>
      </c>
      <c r="C14">
        <v>799</v>
      </c>
      <c r="D14">
        <v>553.22</v>
      </c>
      <c r="E14">
        <v>1</v>
      </c>
    </row>
    <row r="15" spans="1:5" x14ac:dyDescent="0.35">
      <c r="A15" t="s">
        <v>50</v>
      </c>
      <c r="B15" t="s">
        <v>51</v>
      </c>
      <c r="C15">
        <v>649</v>
      </c>
      <c r="D15">
        <v>432.2</v>
      </c>
      <c r="E15">
        <v>1</v>
      </c>
    </row>
    <row r="16" spans="1:5" x14ac:dyDescent="0.35">
      <c r="A16" t="s">
        <v>53</v>
      </c>
      <c r="B16" t="s">
        <v>54</v>
      </c>
      <c r="C16">
        <v>649</v>
      </c>
      <c r="D16">
        <v>432.03</v>
      </c>
      <c r="E16">
        <v>1</v>
      </c>
    </row>
    <row r="17" spans="1:5" x14ac:dyDescent="0.35">
      <c r="A17" t="s">
        <v>55</v>
      </c>
      <c r="B17" t="s">
        <v>56</v>
      </c>
      <c r="C17">
        <v>519</v>
      </c>
      <c r="D17">
        <v>345.59</v>
      </c>
      <c r="E17">
        <v>1</v>
      </c>
    </row>
    <row r="18" spans="1:5" x14ac:dyDescent="0.35">
      <c r="A18" t="s">
        <v>57</v>
      </c>
      <c r="B18" t="s">
        <v>58</v>
      </c>
      <c r="C18">
        <v>649</v>
      </c>
      <c r="D18">
        <v>465.91</v>
      </c>
      <c r="E18">
        <v>0</v>
      </c>
    </row>
    <row r="19" spans="1:5" x14ac:dyDescent="0.35">
      <c r="A19" t="s">
        <v>59</v>
      </c>
      <c r="B19" t="s">
        <v>60</v>
      </c>
      <c r="C19">
        <v>649</v>
      </c>
      <c r="D19">
        <v>432.03</v>
      </c>
      <c r="E19">
        <v>1</v>
      </c>
    </row>
    <row r="20" spans="1:5" x14ac:dyDescent="0.35">
      <c r="A20" t="s">
        <v>61</v>
      </c>
      <c r="B20" t="s">
        <v>62</v>
      </c>
      <c r="C20">
        <v>649</v>
      </c>
      <c r="D20">
        <v>432.03</v>
      </c>
      <c r="E20">
        <v>0</v>
      </c>
    </row>
    <row r="21" spans="1:5" x14ac:dyDescent="0.35">
      <c r="A21" t="s">
        <v>63</v>
      </c>
      <c r="B21" t="s">
        <v>64</v>
      </c>
      <c r="C21">
        <v>649</v>
      </c>
      <c r="D21">
        <v>432.03</v>
      </c>
      <c r="E21">
        <v>0</v>
      </c>
    </row>
    <row r="22" spans="1:5" x14ac:dyDescent="0.35">
      <c r="A22" t="s">
        <v>65</v>
      </c>
      <c r="B22" t="s">
        <v>66</v>
      </c>
      <c r="C22">
        <v>249</v>
      </c>
      <c r="D22">
        <v>122.5</v>
      </c>
      <c r="E22">
        <v>6</v>
      </c>
    </row>
    <row r="23" spans="1:5" x14ac:dyDescent="0.35">
      <c r="A23" t="s">
        <v>67</v>
      </c>
      <c r="B23" t="s">
        <v>68</v>
      </c>
      <c r="C23">
        <v>299</v>
      </c>
      <c r="D23">
        <v>192.5</v>
      </c>
      <c r="E23">
        <v>1</v>
      </c>
    </row>
    <row r="24" spans="1:5" x14ac:dyDescent="0.35">
      <c r="A24" t="s">
        <v>70</v>
      </c>
      <c r="B24" t="s">
        <v>71</v>
      </c>
      <c r="C24">
        <v>299</v>
      </c>
      <c r="D24">
        <v>192.5</v>
      </c>
      <c r="E24">
        <v>1</v>
      </c>
    </row>
    <row r="25" spans="1:5" x14ac:dyDescent="0.35">
      <c r="A25" t="s">
        <v>72</v>
      </c>
      <c r="B25" t="s">
        <v>73</v>
      </c>
      <c r="C25">
        <v>549</v>
      </c>
      <c r="D25">
        <v>350</v>
      </c>
      <c r="E25">
        <v>1</v>
      </c>
    </row>
    <row r="26" spans="1:5" x14ac:dyDescent="0.35">
      <c r="A26" t="s">
        <v>74</v>
      </c>
      <c r="B26" t="s">
        <v>75</v>
      </c>
      <c r="C26">
        <v>299</v>
      </c>
      <c r="D26">
        <v>192.5</v>
      </c>
      <c r="E26">
        <v>1</v>
      </c>
    </row>
    <row r="27" spans="1:5" x14ac:dyDescent="0.35">
      <c r="A27" t="s">
        <v>76</v>
      </c>
      <c r="B27" t="s">
        <v>77</v>
      </c>
      <c r="C27">
        <v>499</v>
      </c>
      <c r="D27">
        <v>330</v>
      </c>
      <c r="E27">
        <v>1</v>
      </c>
    </row>
    <row r="28" spans="1:5" x14ac:dyDescent="0.35">
      <c r="A28" t="s">
        <v>78</v>
      </c>
      <c r="B28" t="s">
        <v>79</v>
      </c>
      <c r="C28">
        <v>499</v>
      </c>
      <c r="D28">
        <v>330</v>
      </c>
      <c r="E28">
        <v>1</v>
      </c>
    </row>
    <row r="29" spans="1:5" x14ac:dyDescent="0.35">
      <c r="A29" t="s">
        <v>80</v>
      </c>
      <c r="B29" t="s">
        <v>81</v>
      </c>
      <c r="C29">
        <v>149</v>
      </c>
      <c r="D29">
        <v>80</v>
      </c>
      <c r="E29">
        <v>2</v>
      </c>
    </row>
    <row r="30" spans="1:5" x14ac:dyDescent="0.35">
      <c r="A30" t="s">
        <v>82</v>
      </c>
      <c r="B30" t="s">
        <v>83</v>
      </c>
      <c r="C30">
        <v>399</v>
      </c>
      <c r="D30">
        <v>220</v>
      </c>
      <c r="E30">
        <v>2</v>
      </c>
    </row>
    <row r="31" spans="1:5" x14ac:dyDescent="0.35">
      <c r="A31" t="s">
        <v>84</v>
      </c>
      <c r="B31" t="s">
        <v>85</v>
      </c>
      <c r="C31">
        <v>349</v>
      </c>
      <c r="D31">
        <v>215</v>
      </c>
      <c r="E31">
        <v>0</v>
      </c>
    </row>
    <row r="32" spans="1:5" x14ac:dyDescent="0.35">
      <c r="A32" t="s">
        <v>86</v>
      </c>
      <c r="B32" t="s">
        <v>87</v>
      </c>
      <c r="C32">
        <v>499</v>
      </c>
      <c r="D32">
        <v>330</v>
      </c>
      <c r="E32">
        <v>0</v>
      </c>
    </row>
    <row r="33" spans="1:5" x14ac:dyDescent="0.35">
      <c r="A33" t="s">
        <v>88</v>
      </c>
      <c r="B33" t="s">
        <v>89</v>
      </c>
      <c r="E33">
        <v>5</v>
      </c>
    </row>
    <row r="34" spans="1:5" x14ac:dyDescent="0.35">
      <c r="A34" t="s">
        <v>90</v>
      </c>
      <c r="B34" t="s">
        <v>91</v>
      </c>
      <c r="C34">
        <v>340</v>
      </c>
      <c r="D34">
        <v>170</v>
      </c>
      <c r="E34">
        <v>1</v>
      </c>
    </row>
    <row r="35" spans="1:5" x14ac:dyDescent="0.35">
      <c r="A35" t="s">
        <v>92</v>
      </c>
      <c r="B35" t="s">
        <v>93</v>
      </c>
      <c r="C35">
        <v>499</v>
      </c>
      <c r="D35">
        <v>280</v>
      </c>
      <c r="E35">
        <v>2</v>
      </c>
    </row>
    <row r="36" spans="1:5" x14ac:dyDescent="0.35">
      <c r="A36" t="s">
        <v>94</v>
      </c>
      <c r="B36" t="s">
        <v>95</v>
      </c>
      <c r="C36">
        <v>449</v>
      </c>
      <c r="D36">
        <v>330</v>
      </c>
      <c r="E36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7265625" defaultRowHeight="14.5" x14ac:dyDescent="0.3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7265625" defaultRowHeight="14.5" x14ac:dyDescent="0.3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PRODUCTOS</vt:lpstr>
      <vt:lpstr>COMPONENTES</vt:lpstr>
      <vt:lpstr>KITS</vt:lpstr>
      <vt:lpstr>STOCK_AUTOMATICO</vt:lpstr>
      <vt:lpstr>PEDIDOS</vt:lpstr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Suarez Neria</cp:lastModifiedBy>
  <dcterms:created xsi:type="dcterms:W3CDTF">2026-05-20T20:56:15Z</dcterms:created>
  <dcterms:modified xsi:type="dcterms:W3CDTF">2026-05-26T01:32:53Z</dcterms:modified>
</cp:coreProperties>
</file>